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 - fluid-handling.com\Documentos\Venezuela Invoices\VNvoice\0.1.0.1\INVenezuela-main\data\template\"/>
    </mc:Choice>
  </mc:AlternateContent>
  <xr:revisionPtr revIDLastSave="0" documentId="13_ncr:1_{E26486DC-A4C4-4EA1-9DC7-7DBF828C1B99}" xr6:coauthVersionLast="47" xr6:coauthVersionMax="47" xr10:uidLastSave="{00000000-0000-0000-0000-000000000000}"/>
  <bookViews>
    <workbookView xWindow="0" yWindow="1410" windowWidth="18825" windowHeight="1407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01" i="1" l="1"/>
  <c r="K1903" i="1" s="1"/>
  <c r="K1852" i="1"/>
  <c r="K1854" i="1" s="1"/>
  <c r="K1803" i="1"/>
  <c r="K1805" i="1" s="1"/>
  <c r="K1754" i="1"/>
  <c r="K1756" i="1" s="1"/>
  <c r="K1705" i="1"/>
  <c r="K1707" i="1" s="1"/>
  <c r="K1656" i="1"/>
  <c r="K1658" i="1" s="1"/>
  <c r="K1607" i="1"/>
  <c r="K1609" i="1" s="1"/>
  <c r="K1362" i="1"/>
  <c r="K1364" i="1" s="1"/>
  <c r="K1215" i="1" l="1"/>
  <c r="K1217" i="1" s="1"/>
  <c r="K1218" i="1" s="1"/>
  <c r="K921" i="1"/>
  <c r="K923" i="1" s="1"/>
  <c r="K925" i="1" s="1"/>
  <c r="K1709" i="1"/>
  <c r="K1708" i="1"/>
  <c r="K1611" i="1"/>
  <c r="K1610" i="1"/>
  <c r="K1905" i="1"/>
  <c r="K1904" i="1"/>
  <c r="K1807" i="1"/>
  <c r="K1806" i="1"/>
  <c r="K1856" i="1"/>
  <c r="K1855" i="1"/>
  <c r="K1758" i="1"/>
  <c r="K1757" i="1"/>
  <c r="K1660" i="1"/>
  <c r="K1659" i="1"/>
  <c r="K970" i="1"/>
  <c r="K972" i="1" s="1"/>
  <c r="K974" i="1" s="1"/>
  <c r="K1264" i="1"/>
  <c r="K1266" i="1" s="1"/>
  <c r="K1267" i="1" s="1"/>
  <c r="K1117" i="1"/>
  <c r="K1119" i="1" s="1"/>
  <c r="K1121" i="1" s="1"/>
  <c r="K1068" i="1"/>
  <c r="K1070" i="1" s="1"/>
  <c r="K1072" i="1" s="1"/>
  <c r="K1558" i="1"/>
  <c r="K1560" i="1" s="1"/>
  <c r="K1562" i="1" s="1"/>
  <c r="K431" i="1"/>
  <c r="K433" i="1" s="1"/>
  <c r="K435" i="1" s="1"/>
  <c r="K578" i="1"/>
  <c r="K580" i="1" s="1"/>
  <c r="K582" i="1" s="1"/>
  <c r="K725" i="1"/>
  <c r="K727" i="1" s="1"/>
  <c r="K729" i="1" s="1"/>
  <c r="K823" i="1"/>
  <c r="K825" i="1" s="1"/>
  <c r="K827" i="1" s="1"/>
  <c r="K1411" i="1"/>
  <c r="K1413" i="1" s="1"/>
  <c r="K1313" i="1"/>
  <c r="K1315" i="1" s="1"/>
  <c r="K1317" i="1" s="1"/>
  <c r="K333" i="1"/>
  <c r="K335" i="1" s="1"/>
  <c r="K337" i="1" s="1"/>
  <c r="K480" i="1"/>
  <c r="K482" i="1" s="1"/>
  <c r="K484" i="1" s="1"/>
  <c r="K627" i="1"/>
  <c r="K629" i="1" s="1"/>
  <c r="K630" i="1" s="1"/>
  <c r="K774" i="1"/>
  <c r="K776" i="1" s="1"/>
  <c r="K778" i="1" s="1"/>
  <c r="K872" i="1"/>
  <c r="K874" i="1" s="1"/>
  <c r="K876" i="1" s="1"/>
  <c r="K1460" i="1"/>
  <c r="K1462" i="1" s="1"/>
  <c r="K1464" i="1" s="1"/>
  <c r="K235" i="1"/>
  <c r="K237" i="1" s="1"/>
  <c r="K239" i="1" s="1"/>
  <c r="K382" i="1"/>
  <c r="K384" i="1" s="1"/>
  <c r="K386" i="1" s="1"/>
  <c r="K529" i="1"/>
  <c r="K531" i="1" s="1"/>
  <c r="K533" i="1" s="1"/>
  <c r="K676" i="1"/>
  <c r="K678" i="1" s="1"/>
  <c r="K679" i="1" s="1"/>
  <c r="K1019" i="1"/>
  <c r="K1021" i="1" s="1"/>
  <c r="K1023" i="1" s="1"/>
  <c r="K1509" i="1"/>
  <c r="K1511" i="1" s="1"/>
  <c r="K1513" i="1" s="1"/>
  <c r="K1166" i="1"/>
  <c r="K1168" i="1" s="1"/>
  <c r="K1170" i="1" s="1"/>
  <c r="K284" i="1"/>
  <c r="K286" i="1" s="1"/>
  <c r="K287" i="1" s="1"/>
  <c r="K1366" i="1"/>
  <c r="K1365" i="1"/>
  <c r="K1415" i="1"/>
  <c r="K1414" i="1"/>
  <c r="K186" i="1"/>
  <c r="K188" i="1" s="1"/>
  <c r="K190" i="1" s="1"/>
  <c r="K137" i="1"/>
  <c r="K139" i="1" s="1"/>
  <c r="K141" i="1" s="1"/>
  <c r="K88" i="1"/>
  <c r="K90" i="1" s="1"/>
  <c r="K91" i="1" s="1"/>
  <c r="K39" i="1"/>
  <c r="K41" i="1" s="1"/>
  <c r="K43" i="1" s="1"/>
  <c r="K1219" i="1" l="1"/>
  <c r="K1561" i="1"/>
  <c r="K1268" i="1"/>
  <c r="K1120" i="1"/>
  <c r="K1071" i="1"/>
  <c r="K973" i="1"/>
  <c r="K924" i="1"/>
  <c r="K826" i="1"/>
  <c r="K777" i="1"/>
  <c r="K728" i="1"/>
  <c r="K680" i="1"/>
  <c r="K631" i="1"/>
  <c r="K532" i="1"/>
  <c r="K288" i="1"/>
  <c r="K1169" i="1"/>
  <c r="K238" i="1"/>
  <c r="K581" i="1"/>
  <c r="K1463" i="1"/>
  <c r="K1512" i="1"/>
  <c r="K1022" i="1"/>
  <c r="K385" i="1"/>
  <c r="K336" i="1"/>
  <c r="K434" i="1"/>
  <c r="K483" i="1"/>
  <c r="K875" i="1"/>
  <c r="K1316" i="1"/>
  <c r="K189" i="1"/>
  <c r="K140" i="1"/>
  <c r="K92" i="1"/>
  <c r="K42" i="1"/>
</calcChain>
</file>

<file path=xl/sharedStrings.xml><?xml version="1.0" encoding="utf-8"?>
<sst xmlns="http://schemas.openxmlformats.org/spreadsheetml/2006/main" count="1375" uniqueCount="36">
  <si>
    <t>FACTURA:</t>
  </si>
  <si>
    <t>ORDEN DE COMPRA:</t>
  </si>
  <si>
    <t>CLIENTE:</t>
  </si>
  <si>
    <t>APTEIN, C.A.</t>
  </si>
  <si>
    <t>CODIGO</t>
  </si>
  <si>
    <t>C000000</t>
  </si>
  <si>
    <t>FECHA</t>
  </si>
  <si>
    <t>TELEFONOS:</t>
  </si>
  <si>
    <t>0241-4121310</t>
  </si>
  <si>
    <t>FAX:</t>
  </si>
  <si>
    <t>VENCE</t>
  </si>
  <si>
    <t>N.I.T.:</t>
  </si>
  <si>
    <t>CONDICION:</t>
  </si>
  <si>
    <t>CREDITO</t>
  </si>
  <si>
    <t>VENDEDOR:</t>
  </si>
  <si>
    <t>00001</t>
  </si>
  <si>
    <t>DIRECCION:</t>
  </si>
  <si>
    <t xml:space="preserve">AV. EL DESARROLLO EDIFICIO APTEIN, ZONA INDUSTRIAL CASTILLITO
</t>
  </si>
  <si>
    <t>SAN DIEGO, ESTADO CARABOBO (DETRÁS DEL C.C. METROPOLIS)</t>
  </si>
  <si>
    <t>Dir. Ent.</t>
  </si>
  <si>
    <t>DESCRIPCION</t>
  </si>
  <si>
    <t>CANT.</t>
  </si>
  <si>
    <t>PRECIO</t>
  </si>
  <si>
    <t>IMPORTE</t>
  </si>
  <si>
    <t>OBSERVACION</t>
  </si>
  <si>
    <t>Sub-toal Bs.:</t>
  </si>
  <si>
    <t>Total Exento:</t>
  </si>
  <si>
    <t>Base Imponible:</t>
  </si>
  <si>
    <t>Recibe Conforme:</t>
  </si>
  <si>
    <t>I.V.A.:</t>
  </si>
  <si>
    <t>TOTAL:</t>
  </si>
  <si>
    <t>ESTA FORMA LIBRE VA SIN TACHADURA NI ENMENDADURA - ORIGINAL Cliente Blanca</t>
  </si>
  <si>
    <t xml:space="preserve">          </t>
  </si>
  <si>
    <r>
      <t xml:space="preserve">R.I.F.:  </t>
    </r>
    <r>
      <rPr>
        <b/>
        <sz val="7"/>
        <color theme="1"/>
        <rFont val="Arial"/>
        <family val="2"/>
      </rPr>
      <t xml:space="preserve"> J-30160323-0</t>
    </r>
  </si>
  <si>
    <r>
      <t xml:space="preserve">IMPRESOS COLORAMA C.A. RIF J - 07527584 - 5 </t>
    </r>
    <r>
      <rPr>
        <sz val="7"/>
        <color theme="1"/>
        <rFont val="Calibri"/>
        <family val="2"/>
      </rPr>
      <t>•</t>
    </r>
    <r>
      <rPr>
        <sz val="7"/>
        <color theme="1"/>
        <rFont val="Arial"/>
        <family val="2"/>
      </rPr>
      <t xml:space="preserve"> Av. Bolívar Norte, C.C. París, Local 07. Valencia. Telefax: 0241/822.96.72 Nro. Providencia
FORAMA LIRBE Fecha: 09/04/2021 • N° DE CONTROL DESDE EL N° 00-000251   HASTA EL N° 00-000500 •  REGIÓN: CENTRAL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</si>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</sst>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00"/>
    <numFmt numFmtId="165" formatCode="dd/mm/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b/>
      <sz val="9.1999999999999993"/>
      <color theme="1"/>
      <name val="Arial"/>
      <family val="2"/>
    </font>
    <font>
      <sz val="7"/>
      <color theme="1"/>
      <name val="Arial"/>
      <family val="2"/>
    </font>
    <font>
      <sz val="7"/>
      <color theme="1"/>
      <name val="Calibri"/>
      <family val="2"/>
    </font>
    <font>
      <b/>
      <sz val="16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/>
    <xf numFmtId="44" fontId="1" fillId="0" borderId="0"/>
    <xf numFmtId="43" fontId="1" fillId="0" borderId="0"/>
  </cellStyleXfs>
  <cellXfs count="40">
    <xf numFmtId="0" fontId="0" fillId="0" borderId="0" xfId="0"/>
    <xf numFmtId="0" fontId="3" fillId="0" borderId="0" xfId="0" applyFont="1" applyAlignment="1">
      <alignment horizontal="center"/>
    </xf>
    <xf numFmtId="0" fontId="5" fillId="0" borderId="0" xfId="0" applyFont="1" applyAlignment="1">
      <alignment vertical="top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4" fillId="0" borderId="0" xfId="0" applyFont="1"/>
    <xf numFmtId="49" fontId="4" fillId="0" borderId="0" xfId="0" applyNumberFormat="1" applyFont="1"/>
    <xf numFmtId="0" fontId="4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vertical="center"/>
    </xf>
    <xf numFmtId="10" fontId="4" fillId="0" borderId="0" xfId="1" applyNumberFormat="1" applyFont="1"/>
    <xf numFmtId="4" fontId="3" fillId="0" borderId="0" xfId="0" applyNumberFormat="1" applyFont="1" applyAlignment="1">
      <alignment horizontal="right"/>
    </xf>
    <xf numFmtId="14" fontId="4" fillId="0" borderId="0" xfId="0" applyNumberFormat="1" applyFont="1" applyAlignment="1">
      <alignment horizontal="left"/>
    </xf>
    <xf numFmtId="43" fontId="4" fillId="0" borderId="0" xfId="3" applyFont="1"/>
    <xf numFmtId="43" fontId="4" fillId="0" borderId="0" xfId="3" applyFont="1" applyAlignment="1">
      <alignment horizontal="right"/>
    </xf>
    <xf numFmtId="0" fontId="3" fillId="0" borderId="0" xfId="0" applyFont="1" applyAlignment="1">
      <alignment horizontal="right"/>
    </xf>
    <xf numFmtId="165" fontId="4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4" fontId="3" fillId="0" borderId="0" xfId="2" applyNumberFormat="1" applyFont="1" applyAlignment="1">
      <alignment horizontal="right"/>
    </xf>
    <xf numFmtId="44" fontId="3" fillId="0" borderId="0" xfId="2" applyFont="1" applyAlignment="1">
      <alignment horizontal="right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3" fillId="0" borderId="2" xfId="2" applyNumberFormat="1" applyFont="1" applyBorder="1" applyAlignment="1">
      <alignment horizontal="right"/>
    </xf>
    <xf numFmtId="0" fontId="4" fillId="0" borderId="0" xfId="0" applyFont="1" applyAlignment="1">
      <alignment horizontal="left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4" fontId="3" fillId="0" borderId="0" xfId="2" applyNumberFormat="1" applyFont="1" applyAlignment="1">
      <alignment horizontal="right" wrapText="1"/>
    </xf>
    <xf numFmtId="164" fontId="8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</cellXfs>
  <cellStyles count="4">
    <cellStyle name="Comma" xfId="3" builtinId="3"/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72379</xdr:colOff>
      <xdr:row>6</xdr:row>
      <xdr:rowOff>173935</xdr:rowOff>
    </xdr:to>
    <xdr:pic>
      <xdr:nvPicPr>
        <xdr:cNvPr id="2" name="Picture 1" descr="A logo of an airplane&#10;&#10;Description automatically generated">
          <a:extLst>
            <a:ext uri="{FF2B5EF4-FFF2-40B4-BE49-F238E27FC236}">
              <a16:creationId xmlns:a16="http://schemas.microsoft.com/office/drawing/2014/main" id="{9D428799-B42D-448D-AB7A-11E4F6BC1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96329" cy="1269310"/>
        </a:xfrm>
        <a:prstGeom prst="rect">
          <a:avLst/>
        </a:prstGeom>
      </xdr:spPr>
    </xdr:pic>
    <xdr:clientData/>
  </xdr:twoCellAnchor>
  <xdr:twoCellAnchor>
    <xdr:from>
      <xdr:col>2</xdr:col>
      <xdr:colOff>30088</xdr:colOff>
      <xdr:row>3</xdr:row>
      <xdr:rowOff>85396</xdr:rowOff>
    </xdr:from>
    <xdr:to>
      <xdr:col>3</xdr:col>
      <xdr:colOff>95779</xdr:colOff>
      <xdr:row>4</xdr:row>
      <xdr:rowOff>59122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A08CFEE-D203-4BD3-A538-B2C16CC37807}"/>
            </a:ext>
          </a:extLst>
        </xdr:cNvPr>
        <xdr:cNvSpPr txBox="1"/>
      </xdr:nvSpPr>
      <xdr:spPr>
        <a:xfrm>
          <a:off x="1154038" y="637846"/>
          <a:ext cx="732441" cy="154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>
              <a:latin typeface="Arial" panose="020B0604020202020204" pitchFamily="34" charset="0"/>
              <a:cs typeface="Arial" panose="020B0604020202020204" pitchFamily="34" charset="0"/>
            </a:rPr>
            <a:t>J-40542036-0</a:t>
          </a:r>
        </a:p>
      </xdr:txBody>
    </xdr:sp>
    <xdr:clientData/>
  </xdr:twoCellAnchor>
  <xdr:twoCellAnchor>
    <xdr:from>
      <xdr:col>5</xdr:col>
      <xdr:colOff>974405</xdr:colOff>
      <xdr:row>5</xdr:row>
      <xdr:rowOff>13784</xdr:rowOff>
    </xdr:from>
    <xdr:to>
      <xdr:col>9</xdr:col>
      <xdr:colOff>156610</xdr:colOff>
      <xdr:row>7</xdr:row>
      <xdr:rowOff>29308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1D31C10-B618-4984-AE0B-272547EBB72B}"/>
            </a:ext>
          </a:extLst>
        </xdr:cNvPr>
        <xdr:cNvSpPr txBox="1"/>
      </xdr:nvSpPr>
      <xdr:spPr>
        <a:xfrm>
          <a:off x="4015078" y="936976"/>
          <a:ext cx="1050570" cy="3818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FORMA LIBRE</a:t>
          </a:r>
        </a:p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N° de Control</a:t>
          </a:r>
        </a:p>
      </xdr:txBody>
    </xdr:sp>
    <xdr:clientData/>
  </xdr:twoCellAnchor>
  <xdr:twoCellAnchor>
    <xdr:from>
      <xdr:col>9</xdr:col>
      <xdr:colOff>158514</xdr:colOff>
      <xdr:row>5</xdr:row>
      <xdr:rowOff>13671</xdr:rowOff>
    </xdr:from>
    <xdr:to>
      <xdr:col>10</xdr:col>
      <xdr:colOff>249114</xdr:colOff>
      <xdr:row>6</xdr:row>
      <xdr:rowOff>157430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516F974-5591-47E8-9BBF-6852505EB979}"/>
            </a:ext>
          </a:extLst>
        </xdr:cNvPr>
        <xdr:cNvSpPr txBox="1"/>
      </xdr:nvSpPr>
      <xdr:spPr>
        <a:xfrm>
          <a:off x="5067552" y="936863"/>
          <a:ext cx="530216" cy="3269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Arial" panose="020B0604020202020204" pitchFamily="34" charset="0"/>
              <a:ea typeface="Roboto" panose="02000000000000000000" pitchFamily="2" charset="0"/>
              <a:cs typeface="Arial" panose="020B0604020202020204" pitchFamily="34" charset="0"/>
            </a:rPr>
            <a:t>00-</a:t>
          </a:r>
          <a:endParaRPr lang="en-US" sz="1600">
            <a:solidFill>
              <a:srgbClr val="FF0000"/>
            </a:solidFill>
            <a:latin typeface="Arial" panose="020B0604020202020204" pitchFamily="34" charset="0"/>
            <a:ea typeface="Roboto" panose="02000000000000000000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322385</xdr:colOff>
      <xdr:row>1</xdr:row>
      <xdr:rowOff>52711</xdr:rowOff>
    </xdr:from>
    <xdr:to>
      <xdr:col>12</xdr:col>
      <xdr:colOff>0</xdr:colOff>
      <xdr:row>3</xdr:row>
      <xdr:rowOff>80211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520ABD5-30B7-4078-A24E-4775CA66D571}"/>
            </a:ext>
          </a:extLst>
        </xdr:cNvPr>
        <xdr:cNvSpPr txBox="1"/>
      </xdr:nvSpPr>
      <xdr:spPr>
        <a:xfrm>
          <a:off x="912935" y="243211"/>
          <a:ext cx="5792665" cy="389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CALLE AYACUCHO, CASA Nro 36, SECTOR CASCO CENTRAL. CABIMAS - EDO. ZULIA ZONA POSTAL 4013          </a:t>
          </a:r>
        </a:p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TELF.: (0264) 241.65.04 - E-MAIL: LLLIMPORTCA@GMAIL.COM</a:t>
          </a:r>
        </a:p>
      </xdr:txBody>
    </xdr:sp>
    <xdr:clientData/>
  </xdr:twoCellAnchor>
  <xdr:twoCellAnchor>
    <xdr:from>
      <xdr:col>2</xdr:col>
      <xdr:colOff>122464</xdr:colOff>
      <xdr:row>3</xdr:row>
      <xdr:rowOff>78241</xdr:rowOff>
    </xdr:from>
    <xdr:to>
      <xdr:col>11</xdr:col>
      <xdr:colOff>488156</xdr:colOff>
      <xdr:row>3</xdr:row>
      <xdr:rowOff>83343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86DBD71A-1F6E-4C6E-B9C4-E95D756D0E92}"/>
            </a:ext>
          </a:extLst>
        </xdr:cNvPr>
        <xdr:cNvCxnSpPr/>
      </xdr:nvCxnSpPr>
      <xdr:spPr>
        <a:xfrm>
          <a:off x="1246414" y="630691"/>
          <a:ext cx="5356792" cy="510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119503</xdr:colOff>
      <xdr:row>3</xdr:row>
      <xdr:rowOff>32085</xdr:rowOff>
    </xdr:from>
    <xdr:to>
      <xdr:col>11</xdr:col>
      <xdr:colOff>482203</xdr:colOff>
      <xdr:row>3</xdr:row>
      <xdr:rowOff>35718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6D5BFDFA-6758-4F02-9E17-CE81C2159B03}"/>
            </a:ext>
          </a:extLst>
        </xdr:cNvPr>
        <xdr:cNvCxnSpPr/>
      </xdr:nvCxnSpPr>
      <xdr:spPr>
        <a:xfrm>
          <a:off x="1243453" y="584535"/>
          <a:ext cx="5353800" cy="363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325589</xdr:colOff>
      <xdr:row>46</xdr:row>
      <xdr:rowOff>21979</xdr:rowOff>
    </xdr:from>
    <xdr:to>
      <xdr:col>11</xdr:col>
      <xdr:colOff>315515</xdr:colOff>
      <xdr:row>47</xdr:row>
      <xdr:rowOff>152948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99A0113D-159D-4616-AA85-78E3FD0D7E3A}"/>
            </a:ext>
          </a:extLst>
        </xdr:cNvPr>
        <xdr:cNvSpPr/>
      </xdr:nvSpPr>
      <xdr:spPr>
        <a:xfrm>
          <a:off x="325589" y="8365879"/>
          <a:ext cx="6104976" cy="302419"/>
        </a:xfrm>
        <a:prstGeom prst="roundRect">
          <a:avLst/>
        </a:prstGeom>
        <a:noFill/>
        <a:ln w="2857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249115</xdr:colOff>
      <xdr:row>41</xdr:row>
      <xdr:rowOff>175846</xdr:rowOff>
    </xdr:from>
    <xdr:to>
      <xdr:col>4</xdr:col>
      <xdr:colOff>395654</xdr:colOff>
      <xdr:row>41</xdr:row>
      <xdr:rowOff>175846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CE06044F-4971-4CF6-AD46-3FD48D46638F}"/>
            </a:ext>
          </a:extLst>
        </xdr:cNvPr>
        <xdr:cNvCxnSpPr/>
      </xdr:nvCxnSpPr>
      <xdr:spPr>
        <a:xfrm>
          <a:off x="1373065" y="7614871"/>
          <a:ext cx="142288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30088</xdr:colOff>
      <xdr:row>52</xdr:row>
      <xdr:rowOff>85396</xdr:rowOff>
    </xdr:from>
    <xdr:to>
      <xdr:col>3</xdr:col>
      <xdr:colOff>95779</xdr:colOff>
      <xdr:row>53</xdr:row>
      <xdr:rowOff>59122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27F6FAB6-3B14-4892-A8CF-1F035A193077}"/>
            </a:ext>
          </a:extLst>
        </xdr:cNvPr>
        <xdr:cNvSpPr txBox="1"/>
      </xdr:nvSpPr>
      <xdr:spPr>
        <a:xfrm>
          <a:off x="1161882" y="634484"/>
          <a:ext cx="738044" cy="153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>
              <a:latin typeface="Arial" panose="020B0604020202020204" pitchFamily="34" charset="0"/>
              <a:cs typeface="Arial" panose="020B0604020202020204" pitchFamily="34" charset="0"/>
            </a:rPr>
            <a:t>J-40542036-0</a:t>
          </a:r>
        </a:p>
      </xdr:txBody>
    </xdr:sp>
    <xdr:clientData/>
  </xdr:twoCellAnchor>
  <xdr:twoCellAnchor>
    <xdr:from>
      <xdr:col>5</xdr:col>
      <xdr:colOff>974405</xdr:colOff>
      <xdr:row>54</xdr:row>
      <xdr:rowOff>13784</xdr:rowOff>
    </xdr:from>
    <xdr:to>
      <xdr:col>9</xdr:col>
      <xdr:colOff>156610</xdr:colOff>
      <xdr:row>56</xdr:row>
      <xdr:rowOff>29308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D742879-BEEA-4F2B-BC96-E60103B19C32}"/>
            </a:ext>
          </a:extLst>
        </xdr:cNvPr>
        <xdr:cNvSpPr txBox="1"/>
      </xdr:nvSpPr>
      <xdr:spPr>
        <a:xfrm>
          <a:off x="4022405" y="921460"/>
          <a:ext cx="1053587" cy="3741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FORMA LIBRE</a:t>
          </a:r>
        </a:p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N° de Control</a:t>
          </a:r>
        </a:p>
      </xdr:txBody>
    </xdr:sp>
    <xdr:clientData/>
  </xdr:twoCellAnchor>
  <xdr:twoCellAnchor>
    <xdr:from>
      <xdr:col>9</xdr:col>
      <xdr:colOff>158514</xdr:colOff>
      <xdr:row>54</xdr:row>
      <xdr:rowOff>13671</xdr:rowOff>
    </xdr:from>
    <xdr:to>
      <xdr:col>10</xdr:col>
      <xdr:colOff>249114</xdr:colOff>
      <xdr:row>55</xdr:row>
      <xdr:rowOff>157430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1D55CD0-3001-411E-84BF-88B5EC662B9E}"/>
            </a:ext>
          </a:extLst>
        </xdr:cNvPr>
        <xdr:cNvSpPr txBox="1"/>
      </xdr:nvSpPr>
      <xdr:spPr>
        <a:xfrm>
          <a:off x="5077896" y="921347"/>
          <a:ext cx="527630" cy="3230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Arial" panose="020B0604020202020204" pitchFamily="34" charset="0"/>
              <a:ea typeface="Roboto" panose="02000000000000000000" pitchFamily="2" charset="0"/>
              <a:cs typeface="Arial" panose="020B0604020202020204" pitchFamily="34" charset="0"/>
            </a:rPr>
            <a:t>00-</a:t>
          </a:r>
          <a:endParaRPr lang="en-US" sz="1600">
            <a:solidFill>
              <a:srgbClr val="FF0000"/>
            </a:solidFill>
            <a:latin typeface="Arial" panose="020B0604020202020204" pitchFamily="34" charset="0"/>
            <a:ea typeface="Roboto" panose="02000000000000000000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322385</xdr:colOff>
      <xdr:row>50</xdr:row>
      <xdr:rowOff>52711</xdr:rowOff>
    </xdr:from>
    <xdr:to>
      <xdr:col>12</xdr:col>
      <xdr:colOff>0</xdr:colOff>
      <xdr:row>52</xdr:row>
      <xdr:rowOff>80211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904F093-097D-433D-ADE2-E8C5499D8A42}"/>
            </a:ext>
          </a:extLst>
        </xdr:cNvPr>
        <xdr:cNvSpPr txBox="1"/>
      </xdr:nvSpPr>
      <xdr:spPr>
        <a:xfrm>
          <a:off x="916297" y="243211"/>
          <a:ext cx="5807232" cy="3860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CALLE AYACUCHO, CASA Nro 36, SECTOR CASCO CENTRAL. CABIMAS - EDO. ZULIA ZONA POSTAL 4013          </a:t>
          </a:r>
        </a:p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TELF.: (0264) 241.65.04 - E-MAIL: LLLIMPORTCA@GMAIL.COM</a:t>
          </a:r>
        </a:p>
      </xdr:txBody>
    </xdr:sp>
    <xdr:clientData/>
  </xdr:twoCellAnchor>
  <xdr:twoCellAnchor>
    <xdr:from>
      <xdr:col>2</xdr:col>
      <xdr:colOff>122464</xdr:colOff>
      <xdr:row>52</xdr:row>
      <xdr:rowOff>78241</xdr:rowOff>
    </xdr:from>
    <xdr:to>
      <xdr:col>11</xdr:col>
      <xdr:colOff>488156</xdr:colOff>
      <xdr:row>52</xdr:row>
      <xdr:rowOff>83343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10B27806-307D-45EB-AAD2-DF30F95CD838}"/>
            </a:ext>
          </a:extLst>
        </xdr:cNvPr>
        <xdr:cNvCxnSpPr/>
      </xdr:nvCxnSpPr>
      <xdr:spPr>
        <a:xfrm>
          <a:off x="1254258" y="627329"/>
          <a:ext cx="5363516" cy="510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119503</xdr:colOff>
      <xdr:row>52</xdr:row>
      <xdr:rowOff>32085</xdr:rowOff>
    </xdr:from>
    <xdr:to>
      <xdr:col>11</xdr:col>
      <xdr:colOff>482203</xdr:colOff>
      <xdr:row>52</xdr:row>
      <xdr:rowOff>35718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F3EAE945-CC93-4434-A601-C847931AEE6E}"/>
            </a:ext>
          </a:extLst>
        </xdr:cNvPr>
        <xdr:cNvCxnSpPr/>
      </xdr:nvCxnSpPr>
      <xdr:spPr>
        <a:xfrm>
          <a:off x="1251297" y="581173"/>
          <a:ext cx="5360524" cy="363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325589</xdr:colOff>
      <xdr:row>95</xdr:row>
      <xdr:rowOff>21979</xdr:rowOff>
    </xdr:from>
    <xdr:to>
      <xdr:col>11</xdr:col>
      <xdr:colOff>315515</xdr:colOff>
      <xdr:row>96</xdr:row>
      <xdr:rowOff>152948</xdr:rowOff>
    </xdr:to>
    <xdr:sp macro="" textlink="">
      <xdr:nvSpPr>
        <xdr:cNvPr id="46" name="Rectangle: Rounded Corners 45">
          <a:extLst>
            <a:ext uri="{FF2B5EF4-FFF2-40B4-BE49-F238E27FC236}">
              <a16:creationId xmlns:a16="http://schemas.microsoft.com/office/drawing/2014/main" id="{3C8607BE-DFF0-4D68-8C2D-C0D9CC5B87BF}"/>
            </a:ext>
          </a:extLst>
        </xdr:cNvPr>
        <xdr:cNvSpPr/>
      </xdr:nvSpPr>
      <xdr:spPr>
        <a:xfrm>
          <a:off x="325589" y="8291920"/>
          <a:ext cx="6119544" cy="299057"/>
        </a:xfrm>
        <a:prstGeom prst="roundRect">
          <a:avLst/>
        </a:prstGeom>
        <a:noFill/>
        <a:ln w="2857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249115</xdr:colOff>
      <xdr:row>90</xdr:row>
      <xdr:rowOff>175846</xdr:rowOff>
    </xdr:from>
    <xdr:to>
      <xdr:col>4</xdr:col>
      <xdr:colOff>395654</xdr:colOff>
      <xdr:row>90</xdr:row>
      <xdr:rowOff>175846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A53C80EB-BE8C-4CCC-8EE2-CA9352448671}"/>
            </a:ext>
          </a:extLst>
        </xdr:cNvPr>
        <xdr:cNvCxnSpPr/>
      </xdr:nvCxnSpPr>
      <xdr:spPr>
        <a:xfrm>
          <a:off x="1380909" y="7549317"/>
          <a:ext cx="142401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49</xdr:row>
      <xdr:rowOff>0</xdr:rowOff>
    </xdr:from>
    <xdr:to>
      <xdr:col>2</xdr:col>
      <xdr:colOff>72379</xdr:colOff>
      <xdr:row>55</xdr:row>
      <xdr:rowOff>173936</xdr:rowOff>
    </xdr:to>
    <xdr:pic>
      <xdr:nvPicPr>
        <xdr:cNvPr id="48" name="Picture 47" descr="A logo of an airplane&#10;&#10;Description automatically generated">
          <a:extLst>
            <a:ext uri="{FF2B5EF4-FFF2-40B4-BE49-F238E27FC236}">
              <a16:creationId xmlns:a16="http://schemas.microsoft.com/office/drawing/2014/main" id="{2468B034-7453-4FC3-8AFF-DFD8F2FFB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807824"/>
          <a:ext cx="1204173" cy="1260906"/>
        </a:xfrm>
        <a:prstGeom prst="rect">
          <a:avLst/>
        </a:prstGeom>
      </xdr:spPr>
    </xdr:pic>
    <xdr:clientData/>
  </xdr:twoCellAnchor>
  <xdr:twoCellAnchor>
    <xdr:from>
      <xdr:col>2</xdr:col>
      <xdr:colOff>30088</xdr:colOff>
      <xdr:row>101</xdr:row>
      <xdr:rowOff>85396</xdr:rowOff>
    </xdr:from>
    <xdr:to>
      <xdr:col>3</xdr:col>
      <xdr:colOff>95779</xdr:colOff>
      <xdr:row>102</xdr:row>
      <xdr:rowOff>59122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88BDACE-E9D1-43B8-B4E8-A7AF57CD7B98}"/>
            </a:ext>
          </a:extLst>
        </xdr:cNvPr>
        <xdr:cNvSpPr txBox="1"/>
      </xdr:nvSpPr>
      <xdr:spPr>
        <a:xfrm>
          <a:off x="1148240" y="640331"/>
          <a:ext cx="736582" cy="155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>
              <a:latin typeface="Arial" panose="020B0604020202020204" pitchFamily="34" charset="0"/>
              <a:cs typeface="Arial" panose="020B0604020202020204" pitchFamily="34" charset="0"/>
            </a:rPr>
            <a:t>J-40542036-0</a:t>
          </a:r>
        </a:p>
      </xdr:txBody>
    </xdr:sp>
    <xdr:clientData/>
  </xdr:twoCellAnchor>
  <xdr:twoCellAnchor>
    <xdr:from>
      <xdr:col>5</xdr:col>
      <xdr:colOff>974405</xdr:colOff>
      <xdr:row>103</xdr:row>
      <xdr:rowOff>13784</xdr:rowOff>
    </xdr:from>
    <xdr:to>
      <xdr:col>9</xdr:col>
      <xdr:colOff>156610</xdr:colOff>
      <xdr:row>105</xdr:row>
      <xdr:rowOff>29308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D48444F-938B-452B-9214-5AF49885CCBB}"/>
            </a:ext>
          </a:extLst>
        </xdr:cNvPr>
        <xdr:cNvSpPr txBox="1"/>
      </xdr:nvSpPr>
      <xdr:spPr>
        <a:xfrm>
          <a:off x="4014122" y="933154"/>
          <a:ext cx="1045792" cy="37995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FORMA LIBRE</a:t>
          </a:r>
        </a:p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N° de Control</a:t>
          </a:r>
        </a:p>
      </xdr:txBody>
    </xdr:sp>
    <xdr:clientData/>
  </xdr:twoCellAnchor>
  <xdr:twoCellAnchor>
    <xdr:from>
      <xdr:col>9</xdr:col>
      <xdr:colOff>158514</xdr:colOff>
      <xdr:row>103</xdr:row>
      <xdr:rowOff>13671</xdr:rowOff>
    </xdr:from>
    <xdr:to>
      <xdr:col>10</xdr:col>
      <xdr:colOff>249114</xdr:colOff>
      <xdr:row>104</xdr:row>
      <xdr:rowOff>157430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514DE63-D949-45EE-8BB6-ABB1AFE166F9}"/>
            </a:ext>
          </a:extLst>
        </xdr:cNvPr>
        <xdr:cNvSpPr txBox="1"/>
      </xdr:nvSpPr>
      <xdr:spPr>
        <a:xfrm>
          <a:off x="5061818" y="933041"/>
          <a:ext cx="529579" cy="325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Arial" panose="020B0604020202020204" pitchFamily="34" charset="0"/>
              <a:ea typeface="Roboto" panose="02000000000000000000" pitchFamily="2" charset="0"/>
              <a:cs typeface="Arial" panose="020B0604020202020204" pitchFamily="34" charset="0"/>
            </a:rPr>
            <a:t>00-</a:t>
          </a:r>
          <a:endParaRPr lang="en-US" sz="1600">
            <a:solidFill>
              <a:srgbClr val="FF0000"/>
            </a:solidFill>
            <a:latin typeface="Arial" panose="020B0604020202020204" pitchFamily="34" charset="0"/>
            <a:ea typeface="Roboto" panose="02000000000000000000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322385</xdr:colOff>
      <xdr:row>99</xdr:row>
      <xdr:rowOff>52711</xdr:rowOff>
    </xdr:from>
    <xdr:to>
      <xdr:col>12</xdr:col>
      <xdr:colOff>0</xdr:colOff>
      <xdr:row>101</xdr:row>
      <xdr:rowOff>80211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113B8C0-31E4-421D-B70A-6EAC681EB793}"/>
            </a:ext>
          </a:extLst>
        </xdr:cNvPr>
        <xdr:cNvSpPr txBox="1"/>
      </xdr:nvSpPr>
      <xdr:spPr>
        <a:xfrm>
          <a:off x="910450" y="243211"/>
          <a:ext cx="5790180" cy="39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CALLE AYACUCHO, CASA Nro 36, SECTOR CASCO CENTRAL. CABIMAS - EDO. ZULIA ZONA POSTAL 4013          </a:t>
          </a:r>
        </a:p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TELF.: (0264) 241.65.04 - E-MAIL: LLLIMPORTCA@GMAIL.COM</a:t>
          </a:r>
        </a:p>
      </xdr:txBody>
    </xdr:sp>
    <xdr:clientData/>
  </xdr:twoCellAnchor>
  <xdr:twoCellAnchor>
    <xdr:from>
      <xdr:col>2</xdr:col>
      <xdr:colOff>122464</xdr:colOff>
      <xdr:row>101</xdr:row>
      <xdr:rowOff>78241</xdr:rowOff>
    </xdr:from>
    <xdr:to>
      <xdr:col>11</xdr:col>
      <xdr:colOff>488156</xdr:colOff>
      <xdr:row>101</xdr:row>
      <xdr:rowOff>83343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F0E09F01-1BFF-41DD-B88A-5EE91A177E1C}"/>
            </a:ext>
          </a:extLst>
        </xdr:cNvPr>
        <xdr:cNvCxnSpPr/>
      </xdr:nvCxnSpPr>
      <xdr:spPr>
        <a:xfrm>
          <a:off x="1240616" y="633176"/>
          <a:ext cx="5360105" cy="510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119503</xdr:colOff>
      <xdr:row>101</xdr:row>
      <xdr:rowOff>32085</xdr:rowOff>
    </xdr:from>
    <xdr:to>
      <xdr:col>11</xdr:col>
      <xdr:colOff>482203</xdr:colOff>
      <xdr:row>101</xdr:row>
      <xdr:rowOff>35718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7D067611-623D-4B1C-9DD0-112996CD58FC}"/>
            </a:ext>
          </a:extLst>
        </xdr:cNvPr>
        <xdr:cNvCxnSpPr/>
      </xdr:nvCxnSpPr>
      <xdr:spPr>
        <a:xfrm>
          <a:off x="1237655" y="587020"/>
          <a:ext cx="5357113" cy="363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325589</xdr:colOff>
      <xdr:row>144</xdr:row>
      <xdr:rowOff>21979</xdr:rowOff>
    </xdr:from>
    <xdr:to>
      <xdr:col>11</xdr:col>
      <xdr:colOff>315515</xdr:colOff>
      <xdr:row>145</xdr:row>
      <xdr:rowOff>152948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1DB68E41-2320-41CC-9DD3-7FED1BCC8576}"/>
            </a:ext>
          </a:extLst>
        </xdr:cNvPr>
        <xdr:cNvSpPr/>
      </xdr:nvSpPr>
      <xdr:spPr>
        <a:xfrm>
          <a:off x="325589" y="8420544"/>
          <a:ext cx="6102491" cy="304904"/>
        </a:xfrm>
        <a:prstGeom prst="roundRect">
          <a:avLst/>
        </a:prstGeom>
        <a:noFill/>
        <a:ln w="2857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249115</xdr:colOff>
      <xdr:row>139</xdr:row>
      <xdr:rowOff>175846</xdr:rowOff>
    </xdr:from>
    <xdr:to>
      <xdr:col>4</xdr:col>
      <xdr:colOff>395654</xdr:colOff>
      <xdr:row>139</xdr:row>
      <xdr:rowOff>175846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1E7285B0-38E1-41DD-A13D-6AE7ED30E7FB}"/>
            </a:ext>
          </a:extLst>
        </xdr:cNvPr>
        <xdr:cNvCxnSpPr/>
      </xdr:nvCxnSpPr>
      <xdr:spPr>
        <a:xfrm>
          <a:off x="1367267" y="7663324"/>
          <a:ext cx="1430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30088</xdr:colOff>
      <xdr:row>150</xdr:row>
      <xdr:rowOff>85396</xdr:rowOff>
    </xdr:from>
    <xdr:to>
      <xdr:col>3</xdr:col>
      <xdr:colOff>95779</xdr:colOff>
      <xdr:row>151</xdr:row>
      <xdr:rowOff>59122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37A9CC0-1C88-4B53-B526-F282D14AD3C5}"/>
            </a:ext>
          </a:extLst>
        </xdr:cNvPr>
        <xdr:cNvSpPr txBox="1"/>
      </xdr:nvSpPr>
      <xdr:spPr>
        <a:xfrm>
          <a:off x="1148240" y="9585548"/>
          <a:ext cx="736582" cy="1559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>
              <a:latin typeface="Arial" panose="020B0604020202020204" pitchFamily="34" charset="0"/>
              <a:cs typeface="Arial" panose="020B0604020202020204" pitchFamily="34" charset="0"/>
            </a:rPr>
            <a:t>J-40542036-0</a:t>
          </a:r>
        </a:p>
      </xdr:txBody>
    </xdr:sp>
    <xdr:clientData/>
  </xdr:twoCellAnchor>
  <xdr:twoCellAnchor>
    <xdr:from>
      <xdr:col>5</xdr:col>
      <xdr:colOff>974405</xdr:colOff>
      <xdr:row>152</xdr:row>
      <xdr:rowOff>13784</xdr:rowOff>
    </xdr:from>
    <xdr:to>
      <xdr:col>9</xdr:col>
      <xdr:colOff>156610</xdr:colOff>
      <xdr:row>154</xdr:row>
      <xdr:rowOff>29308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529D0BA-FD81-40D5-B25A-1A2330EAA841}"/>
            </a:ext>
          </a:extLst>
        </xdr:cNvPr>
        <xdr:cNvSpPr txBox="1"/>
      </xdr:nvSpPr>
      <xdr:spPr>
        <a:xfrm>
          <a:off x="4014122" y="9878371"/>
          <a:ext cx="1045792" cy="3799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FORMA LIBRE</a:t>
          </a:r>
        </a:p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N° de Control</a:t>
          </a:r>
        </a:p>
      </xdr:txBody>
    </xdr:sp>
    <xdr:clientData/>
  </xdr:twoCellAnchor>
  <xdr:twoCellAnchor>
    <xdr:from>
      <xdr:col>9</xdr:col>
      <xdr:colOff>158514</xdr:colOff>
      <xdr:row>152</xdr:row>
      <xdr:rowOff>13671</xdr:rowOff>
    </xdr:from>
    <xdr:to>
      <xdr:col>10</xdr:col>
      <xdr:colOff>249114</xdr:colOff>
      <xdr:row>153</xdr:row>
      <xdr:rowOff>157430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7345C2F-FE43-41C1-95A8-CB1E57762F8A}"/>
            </a:ext>
          </a:extLst>
        </xdr:cNvPr>
        <xdr:cNvSpPr txBox="1"/>
      </xdr:nvSpPr>
      <xdr:spPr>
        <a:xfrm>
          <a:off x="5061818" y="9878258"/>
          <a:ext cx="529579" cy="325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Arial" panose="020B0604020202020204" pitchFamily="34" charset="0"/>
              <a:ea typeface="Roboto" panose="02000000000000000000" pitchFamily="2" charset="0"/>
              <a:cs typeface="Arial" panose="020B0604020202020204" pitchFamily="34" charset="0"/>
            </a:rPr>
            <a:t>00-</a:t>
          </a:r>
          <a:endParaRPr lang="en-US" sz="1600">
            <a:solidFill>
              <a:srgbClr val="FF0000"/>
            </a:solidFill>
            <a:latin typeface="Arial" panose="020B0604020202020204" pitchFamily="34" charset="0"/>
            <a:ea typeface="Roboto" panose="02000000000000000000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322385</xdr:colOff>
      <xdr:row>148</xdr:row>
      <xdr:rowOff>52711</xdr:rowOff>
    </xdr:from>
    <xdr:to>
      <xdr:col>12</xdr:col>
      <xdr:colOff>0</xdr:colOff>
      <xdr:row>150</xdr:row>
      <xdr:rowOff>80211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0B730E5-ACE8-4B57-A812-E17E6B538258}"/>
            </a:ext>
          </a:extLst>
        </xdr:cNvPr>
        <xdr:cNvSpPr txBox="1"/>
      </xdr:nvSpPr>
      <xdr:spPr>
        <a:xfrm>
          <a:off x="910450" y="9188428"/>
          <a:ext cx="5790180" cy="39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CALLE AYACUCHO, CASA Nro 36, SECTOR CASCO CENTRAL. CABIMAS - EDO. ZULIA ZONA POSTAL 4013          </a:t>
          </a:r>
        </a:p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TELF.: (0264) 241.65.04 - E-MAIL: LLLIMPORTCA@GMAIL.COM</a:t>
          </a:r>
        </a:p>
      </xdr:txBody>
    </xdr:sp>
    <xdr:clientData/>
  </xdr:twoCellAnchor>
  <xdr:twoCellAnchor>
    <xdr:from>
      <xdr:col>2</xdr:col>
      <xdr:colOff>122464</xdr:colOff>
      <xdr:row>150</xdr:row>
      <xdr:rowOff>78241</xdr:rowOff>
    </xdr:from>
    <xdr:to>
      <xdr:col>11</xdr:col>
      <xdr:colOff>488156</xdr:colOff>
      <xdr:row>150</xdr:row>
      <xdr:rowOff>83343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88FA3A51-A2F8-425C-91CD-5BBA0B3EF630}"/>
            </a:ext>
          </a:extLst>
        </xdr:cNvPr>
        <xdr:cNvCxnSpPr/>
      </xdr:nvCxnSpPr>
      <xdr:spPr>
        <a:xfrm>
          <a:off x="1240616" y="9578393"/>
          <a:ext cx="5360105" cy="510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119503</xdr:colOff>
      <xdr:row>150</xdr:row>
      <xdr:rowOff>32085</xdr:rowOff>
    </xdr:from>
    <xdr:to>
      <xdr:col>11</xdr:col>
      <xdr:colOff>482203</xdr:colOff>
      <xdr:row>150</xdr:row>
      <xdr:rowOff>35718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CA48EF78-DBBC-4280-AA14-60FC11F0982B}"/>
            </a:ext>
          </a:extLst>
        </xdr:cNvPr>
        <xdr:cNvCxnSpPr/>
      </xdr:nvCxnSpPr>
      <xdr:spPr>
        <a:xfrm>
          <a:off x="1237655" y="9532237"/>
          <a:ext cx="5357113" cy="363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325589</xdr:colOff>
      <xdr:row>193</xdr:row>
      <xdr:rowOff>21979</xdr:rowOff>
    </xdr:from>
    <xdr:to>
      <xdr:col>11</xdr:col>
      <xdr:colOff>315515</xdr:colOff>
      <xdr:row>194</xdr:row>
      <xdr:rowOff>152948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86EE21D8-6741-4959-853E-EF11896D1DF6}"/>
            </a:ext>
          </a:extLst>
        </xdr:cNvPr>
        <xdr:cNvSpPr/>
      </xdr:nvSpPr>
      <xdr:spPr>
        <a:xfrm>
          <a:off x="325589" y="17365762"/>
          <a:ext cx="6102491" cy="304903"/>
        </a:xfrm>
        <a:prstGeom prst="roundRect">
          <a:avLst/>
        </a:prstGeom>
        <a:noFill/>
        <a:ln w="2857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249115</xdr:colOff>
      <xdr:row>188</xdr:row>
      <xdr:rowOff>175846</xdr:rowOff>
    </xdr:from>
    <xdr:to>
      <xdr:col>4</xdr:col>
      <xdr:colOff>395654</xdr:colOff>
      <xdr:row>188</xdr:row>
      <xdr:rowOff>175846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5C659FF8-9D3B-4678-A44A-482CE3F41D97}"/>
            </a:ext>
          </a:extLst>
        </xdr:cNvPr>
        <xdr:cNvCxnSpPr/>
      </xdr:nvCxnSpPr>
      <xdr:spPr>
        <a:xfrm>
          <a:off x="1367267" y="16608542"/>
          <a:ext cx="1430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98</xdr:row>
      <xdr:rowOff>0</xdr:rowOff>
    </xdr:from>
    <xdr:to>
      <xdr:col>2</xdr:col>
      <xdr:colOff>72379</xdr:colOff>
      <xdr:row>104</xdr:row>
      <xdr:rowOff>173935</xdr:rowOff>
    </xdr:to>
    <xdr:pic>
      <xdr:nvPicPr>
        <xdr:cNvPr id="29" name="Picture 28" descr="A logo of an airplane&#10;&#10;Description automatically generated">
          <a:extLst>
            <a:ext uri="{FF2B5EF4-FFF2-40B4-BE49-F238E27FC236}">
              <a16:creationId xmlns:a16="http://schemas.microsoft.com/office/drawing/2014/main" id="{AF9AF341-6D69-440D-B4F9-5EED03DB1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890435"/>
          <a:ext cx="1190531" cy="12755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2</xdr:col>
      <xdr:colOff>72379</xdr:colOff>
      <xdr:row>153</xdr:row>
      <xdr:rowOff>173935</xdr:rowOff>
    </xdr:to>
    <xdr:pic>
      <xdr:nvPicPr>
        <xdr:cNvPr id="30" name="Picture 29" descr="A logo of an airplane&#10;&#10;Description automatically generated">
          <a:extLst>
            <a:ext uri="{FF2B5EF4-FFF2-40B4-BE49-F238E27FC236}">
              <a16:creationId xmlns:a16="http://schemas.microsoft.com/office/drawing/2014/main" id="{98E375F0-AF54-462F-BFE7-6F631A9AE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835652"/>
          <a:ext cx="1190531" cy="1275522"/>
        </a:xfrm>
        <a:prstGeom prst="rect">
          <a:avLst/>
        </a:prstGeom>
      </xdr:spPr>
    </xdr:pic>
    <xdr:clientData/>
  </xdr:twoCellAnchor>
  <xdr:twoCellAnchor>
    <xdr:from>
      <xdr:col>2</xdr:col>
      <xdr:colOff>30088</xdr:colOff>
      <xdr:row>199</xdr:row>
      <xdr:rowOff>85396</xdr:rowOff>
    </xdr:from>
    <xdr:to>
      <xdr:col>3</xdr:col>
      <xdr:colOff>95779</xdr:colOff>
      <xdr:row>200</xdr:row>
      <xdr:rowOff>59122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79BCBE8-07EA-4EB6-A43F-358087F63CE3}"/>
            </a:ext>
          </a:extLst>
        </xdr:cNvPr>
        <xdr:cNvSpPr txBox="1"/>
      </xdr:nvSpPr>
      <xdr:spPr>
        <a:xfrm>
          <a:off x="1148240" y="640331"/>
          <a:ext cx="736582" cy="155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>
              <a:latin typeface="Arial" panose="020B0604020202020204" pitchFamily="34" charset="0"/>
              <a:cs typeface="Arial" panose="020B0604020202020204" pitchFamily="34" charset="0"/>
            </a:rPr>
            <a:t>J-40542036-0</a:t>
          </a:r>
        </a:p>
      </xdr:txBody>
    </xdr:sp>
    <xdr:clientData/>
  </xdr:twoCellAnchor>
  <xdr:twoCellAnchor>
    <xdr:from>
      <xdr:col>5</xdr:col>
      <xdr:colOff>974405</xdr:colOff>
      <xdr:row>201</xdr:row>
      <xdr:rowOff>13784</xdr:rowOff>
    </xdr:from>
    <xdr:to>
      <xdr:col>9</xdr:col>
      <xdr:colOff>156610</xdr:colOff>
      <xdr:row>203</xdr:row>
      <xdr:rowOff>29308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57F3824F-0F4C-4595-AC09-A82D524F809A}"/>
            </a:ext>
          </a:extLst>
        </xdr:cNvPr>
        <xdr:cNvSpPr txBox="1"/>
      </xdr:nvSpPr>
      <xdr:spPr>
        <a:xfrm>
          <a:off x="4014122" y="933154"/>
          <a:ext cx="1045792" cy="37995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FORMA LIBRE</a:t>
          </a:r>
        </a:p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N° de Control</a:t>
          </a:r>
        </a:p>
      </xdr:txBody>
    </xdr:sp>
    <xdr:clientData/>
  </xdr:twoCellAnchor>
  <xdr:twoCellAnchor>
    <xdr:from>
      <xdr:col>9</xdr:col>
      <xdr:colOff>158514</xdr:colOff>
      <xdr:row>201</xdr:row>
      <xdr:rowOff>13671</xdr:rowOff>
    </xdr:from>
    <xdr:to>
      <xdr:col>10</xdr:col>
      <xdr:colOff>249114</xdr:colOff>
      <xdr:row>202</xdr:row>
      <xdr:rowOff>157430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AA4FC440-237E-43CB-AECC-712AAED4C3BD}"/>
            </a:ext>
          </a:extLst>
        </xdr:cNvPr>
        <xdr:cNvSpPr txBox="1"/>
      </xdr:nvSpPr>
      <xdr:spPr>
        <a:xfrm>
          <a:off x="5061818" y="933041"/>
          <a:ext cx="529579" cy="325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Arial" panose="020B0604020202020204" pitchFamily="34" charset="0"/>
              <a:ea typeface="Roboto" panose="02000000000000000000" pitchFamily="2" charset="0"/>
              <a:cs typeface="Arial" panose="020B0604020202020204" pitchFamily="34" charset="0"/>
            </a:rPr>
            <a:t>00-</a:t>
          </a:r>
          <a:endParaRPr lang="en-US" sz="1600">
            <a:solidFill>
              <a:srgbClr val="FF0000"/>
            </a:solidFill>
            <a:latin typeface="Arial" panose="020B0604020202020204" pitchFamily="34" charset="0"/>
            <a:ea typeface="Roboto" panose="02000000000000000000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322385</xdr:colOff>
      <xdr:row>197</xdr:row>
      <xdr:rowOff>52711</xdr:rowOff>
    </xdr:from>
    <xdr:to>
      <xdr:col>12</xdr:col>
      <xdr:colOff>0</xdr:colOff>
      <xdr:row>199</xdr:row>
      <xdr:rowOff>80211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A486D677-C2D9-4556-976D-827F52B0D223}"/>
            </a:ext>
          </a:extLst>
        </xdr:cNvPr>
        <xdr:cNvSpPr txBox="1"/>
      </xdr:nvSpPr>
      <xdr:spPr>
        <a:xfrm>
          <a:off x="910450" y="243211"/>
          <a:ext cx="5790180" cy="39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CALLE AYACUCHO, CASA Nro 36, SECTOR CASCO CENTRAL. CABIMAS - EDO. ZULIA ZONA POSTAL 4013          </a:t>
          </a:r>
        </a:p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TELF.: (0264) 241.65.04 - E-MAIL: LLLIMPORTCA@GMAIL.COM</a:t>
          </a:r>
        </a:p>
      </xdr:txBody>
    </xdr:sp>
    <xdr:clientData/>
  </xdr:twoCellAnchor>
  <xdr:twoCellAnchor>
    <xdr:from>
      <xdr:col>2</xdr:col>
      <xdr:colOff>122464</xdr:colOff>
      <xdr:row>199</xdr:row>
      <xdr:rowOff>78241</xdr:rowOff>
    </xdr:from>
    <xdr:to>
      <xdr:col>11</xdr:col>
      <xdr:colOff>488156</xdr:colOff>
      <xdr:row>199</xdr:row>
      <xdr:rowOff>83343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57904A3-7B12-465A-8CD3-6E877806E661}"/>
            </a:ext>
          </a:extLst>
        </xdr:cNvPr>
        <xdr:cNvCxnSpPr/>
      </xdr:nvCxnSpPr>
      <xdr:spPr>
        <a:xfrm>
          <a:off x="1240616" y="633176"/>
          <a:ext cx="5360105" cy="510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119503</xdr:colOff>
      <xdr:row>199</xdr:row>
      <xdr:rowOff>32085</xdr:rowOff>
    </xdr:from>
    <xdr:to>
      <xdr:col>11</xdr:col>
      <xdr:colOff>482203</xdr:colOff>
      <xdr:row>199</xdr:row>
      <xdr:rowOff>35718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158529A9-3B1A-4E99-A847-9DA7420A9FA2}"/>
            </a:ext>
          </a:extLst>
        </xdr:cNvPr>
        <xdr:cNvCxnSpPr/>
      </xdr:nvCxnSpPr>
      <xdr:spPr>
        <a:xfrm>
          <a:off x="1237655" y="587020"/>
          <a:ext cx="5357113" cy="363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325589</xdr:colOff>
      <xdr:row>242</xdr:row>
      <xdr:rowOff>21979</xdr:rowOff>
    </xdr:from>
    <xdr:to>
      <xdr:col>11</xdr:col>
      <xdr:colOff>315515</xdr:colOff>
      <xdr:row>243</xdr:row>
      <xdr:rowOff>152948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F0F975E1-1169-40EC-A165-51C318C05EE8}"/>
            </a:ext>
          </a:extLst>
        </xdr:cNvPr>
        <xdr:cNvSpPr/>
      </xdr:nvSpPr>
      <xdr:spPr>
        <a:xfrm>
          <a:off x="325589" y="8420544"/>
          <a:ext cx="6102491" cy="304904"/>
        </a:xfrm>
        <a:prstGeom prst="roundRect">
          <a:avLst/>
        </a:prstGeom>
        <a:noFill/>
        <a:ln w="2857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249115</xdr:colOff>
      <xdr:row>237</xdr:row>
      <xdr:rowOff>175846</xdr:rowOff>
    </xdr:from>
    <xdr:to>
      <xdr:col>4</xdr:col>
      <xdr:colOff>395654</xdr:colOff>
      <xdr:row>237</xdr:row>
      <xdr:rowOff>175846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EA3EFB1-60A3-4FED-B3A9-BAA8836EE6C8}"/>
            </a:ext>
          </a:extLst>
        </xdr:cNvPr>
        <xdr:cNvCxnSpPr/>
      </xdr:nvCxnSpPr>
      <xdr:spPr>
        <a:xfrm>
          <a:off x="1367267" y="7663324"/>
          <a:ext cx="1430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30088</xdr:colOff>
      <xdr:row>248</xdr:row>
      <xdr:rowOff>85396</xdr:rowOff>
    </xdr:from>
    <xdr:to>
      <xdr:col>3</xdr:col>
      <xdr:colOff>95779</xdr:colOff>
      <xdr:row>249</xdr:row>
      <xdr:rowOff>59122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C05CB67E-5452-4EDD-9B35-A437DDC164EA}"/>
            </a:ext>
          </a:extLst>
        </xdr:cNvPr>
        <xdr:cNvSpPr txBox="1"/>
      </xdr:nvSpPr>
      <xdr:spPr>
        <a:xfrm>
          <a:off x="1148240" y="9585548"/>
          <a:ext cx="736582" cy="1559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>
              <a:latin typeface="Arial" panose="020B0604020202020204" pitchFamily="34" charset="0"/>
              <a:cs typeface="Arial" panose="020B0604020202020204" pitchFamily="34" charset="0"/>
            </a:rPr>
            <a:t>J-40542036-0</a:t>
          </a:r>
        </a:p>
      </xdr:txBody>
    </xdr:sp>
    <xdr:clientData/>
  </xdr:twoCellAnchor>
  <xdr:twoCellAnchor>
    <xdr:from>
      <xdr:col>5</xdr:col>
      <xdr:colOff>974405</xdr:colOff>
      <xdr:row>250</xdr:row>
      <xdr:rowOff>13784</xdr:rowOff>
    </xdr:from>
    <xdr:to>
      <xdr:col>9</xdr:col>
      <xdr:colOff>156610</xdr:colOff>
      <xdr:row>252</xdr:row>
      <xdr:rowOff>29308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C39B273B-2C24-489B-919D-096DCEDD0513}"/>
            </a:ext>
          </a:extLst>
        </xdr:cNvPr>
        <xdr:cNvSpPr txBox="1"/>
      </xdr:nvSpPr>
      <xdr:spPr>
        <a:xfrm>
          <a:off x="4014122" y="9878371"/>
          <a:ext cx="1045792" cy="3799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FORMA LIBRE</a:t>
          </a:r>
        </a:p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N° de Control</a:t>
          </a:r>
        </a:p>
      </xdr:txBody>
    </xdr:sp>
    <xdr:clientData/>
  </xdr:twoCellAnchor>
  <xdr:twoCellAnchor>
    <xdr:from>
      <xdr:col>9</xdr:col>
      <xdr:colOff>158514</xdr:colOff>
      <xdr:row>250</xdr:row>
      <xdr:rowOff>13671</xdr:rowOff>
    </xdr:from>
    <xdr:to>
      <xdr:col>10</xdr:col>
      <xdr:colOff>249114</xdr:colOff>
      <xdr:row>251</xdr:row>
      <xdr:rowOff>157430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F66FD285-FE4C-4B43-9AD5-CCA0C7F83EAA}"/>
            </a:ext>
          </a:extLst>
        </xdr:cNvPr>
        <xdr:cNvSpPr txBox="1"/>
      </xdr:nvSpPr>
      <xdr:spPr>
        <a:xfrm>
          <a:off x="5061818" y="9878258"/>
          <a:ext cx="529579" cy="325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Arial" panose="020B0604020202020204" pitchFamily="34" charset="0"/>
              <a:ea typeface="Roboto" panose="02000000000000000000" pitchFamily="2" charset="0"/>
              <a:cs typeface="Arial" panose="020B0604020202020204" pitchFamily="34" charset="0"/>
            </a:rPr>
            <a:t>00-</a:t>
          </a:r>
          <a:endParaRPr lang="en-US" sz="1600">
            <a:solidFill>
              <a:srgbClr val="FF0000"/>
            </a:solidFill>
            <a:latin typeface="Arial" panose="020B0604020202020204" pitchFamily="34" charset="0"/>
            <a:ea typeface="Roboto" panose="02000000000000000000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322385</xdr:colOff>
      <xdr:row>246</xdr:row>
      <xdr:rowOff>52711</xdr:rowOff>
    </xdr:from>
    <xdr:to>
      <xdr:col>12</xdr:col>
      <xdr:colOff>0</xdr:colOff>
      <xdr:row>248</xdr:row>
      <xdr:rowOff>80211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1DA1417C-4DFA-4F20-B6AC-84ED8694AFFE}"/>
            </a:ext>
          </a:extLst>
        </xdr:cNvPr>
        <xdr:cNvSpPr txBox="1"/>
      </xdr:nvSpPr>
      <xdr:spPr>
        <a:xfrm>
          <a:off x="910450" y="9188428"/>
          <a:ext cx="5790180" cy="39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CALLE AYACUCHO, CASA Nro 36, SECTOR CASCO CENTRAL. CABIMAS - EDO. ZULIA ZONA POSTAL 4013          </a:t>
          </a:r>
        </a:p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TELF.: (0264) 241.65.04 - E-MAIL: LLLIMPORTCA@GMAIL.COM</a:t>
          </a:r>
        </a:p>
      </xdr:txBody>
    </xdr:sp>
    <xdr:clientData/>
  </xdr:twoCellAnchor>
  <xdr:twoCellAnchor>
    <xdr:from>
      <xdr:col>2</xdr:col>
      <xdr:colOff>122464</xdr:colOff>
      <xdr:row>248</xdr:row>
      <xdr:rowOff>78241</xdr:rowOff>
    </xdr:from>
    <xdr:to>
      <xdr:col>11</xdr:col>
      <xdr:colOff>488156</xdr:colOff>
      <xdr:row>248</xdr:row>
      <xdr:rowOff>83343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DA671FD1-D844-4398-925E-E4688DCE5166}"/>
            </a:ext>
          </a:extLst>
        </xdr:cNvPr>
        <xdr:cNvCxnSpPr/>
      </xdr:nvCxnSpPr>
      <xdr:spPr>
        <a:xfrm>
          <a:off x="1240616" y="9578393"/>
          <a:ext cx="5360105" cy="510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119503</xdr:colOff>
      <xdr:row>248</xdr:row>
      <xdr:rowOff>32085</xdr:rowOff>
    </xdr:from>
    <xdr:to>
      <xdr:col>11</xdr:col>
      <xdr:colOff>482203</xdr:colOff>
      <xdr:row>248</xdr:row>
      <xdr:rowOff>35718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448AC4C8-9DE0-44DC-8250-B8F5805F31E4}"/>
            </a:ext>
          </a:extLst>
        </xdr:cNvPr>
        <xdr:cNvCxnSpPr/>
      </xdr:nvCxnSpPr>
      <xdr:spPr>
        <a:xfrm>
          <a:off x="1237655" y="9532237"/>
          <a:ext cx="5357113" cy="363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325589</xdr:colOff>
      <xdr:row>291</xdr:row>
      <xdr:rowOff>21979</xdr:rowOff>
    </xdr:from>
    <xdr:to>
      <xdr:col>11</xdr:col>
      <xdr:colOff>315515</xdr:colOff>
      <xdr:row>292</xdr:row>
      <xdr:rowOff>152948</xdr:rowOff>
    </xdr:to>
    <xdr:sp macro="" textlink="">
      <xdr:nvSpPr>
        <xdr:cNvPr id="53" name="Rectangle: Rounded Corners 52">
          <a:extLst>
            <a:ext uri="{FF2B5EF4-FFF2-40B4-BE49-F238E27FC236}">
              <a16:creationId xmlns:a16="http://schemas.microsoft.com/office/drawing/2014/main" id="{BFED5B08-9CDD-4FEA-8C97-207F68D44C60}"/>
            </a:ext>
          </a:extLst>
        </xdr:cNvPr>
        <xdr:cNvSpPr/>
      </xdr:nvSpPr>
      <xdr:spPr>
        <a:xfrm>
          <a:off x="325589" y="17365762"/>
          <a:ext cx="6102491" cy="304903"/>
        </a:xfrm>
        <a:prstGeom prst="roundRect">
          <a:avLst/>
        </a:prstGeom>
        <a:noFill/>
        <a:ln w="2857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249115</xdr:colOff>
      <xdr:row>286</xdr:row>
      <xdr:rowOff>175846</xdr:rowOff>
    </xdr:from>
    <xdr:to>
      <xdr:col>4</xdr:col>
      <xdr:colOff>395654</xdr:colOff>
      <xdr:row>286</xdr:row>
      <xdr:rowOff>175846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1E74BE28-7BD4-43F7-9FD1-683C74AB2827}"/>
            </a:ext>
          </a:extLst>
        </xdr:cNvPr>
        <xdr:cNvCxnSpPr/>
      </xdr:nvCxnSpPr>
      <xdr:spPr>
        <a:xfrm>
          <a:off x="1367267" y="16608542"/>
          <a:ext cx="1430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30088</xdr:colOff>
      <xdr:row>297</xdr:row>
      <xdr:rowOff>85396</xdr:rowOff>
    </xdr:from>
    <xdr:to>
      <xdr:col>3</xdr:col>
      <xdr:colOff>95779</xdr:colOff>
      <xdr:row>298</xdr:row>
      <xdr:rowOff>59122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510A2F71-BA52-4B08-9417-01374D1CC17F}"/>
            </a:ext>
          </a:extLst>
        </xdr:cNvPr>
        <xdr:cNvSpPr txBox="1"/>
      </xdr:nvSpPr>
      <xdr:spPr>
        <a:xfrm>
          <a:off x="1148240" y="18530766"/>
          <a:ext cx="736582" cy="155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>
              <a:latin typeface="Arial" panose="020B0604020202020204" pitchFamily="34" charset="0"/>
              <a:cs typeface="Arial" panose="020B0604020202020204" pitchFamily="34" charset="0"/>
            </a:rPr>
            <a:t>J-40542036-0</a:t>
          </a:r>
        </a:p>
      </xdr:txBody>
    </xdr:sp>
    <xdr:clientData/>
  </xdr:twoCellAnchor>
  <xdr:twoCellAnchor>
    <xdr:from>
      <xdr:col>5</xdr:col>
      <xdr:colOff>974405</xdr:colOff>
      <xdr:row>299</xdr:row>
      <xdr:rowOff>13784</xdr:rowOff>
    </xdr:from>
    <xdr:to>
      <xdr:col>9</xdr:col>
      <xdr:colOff>156610</xdr:colOff>
      <xdr:row>301</xdr:row>
      <xdr:rowOff>29308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4F7F0079-554F-4CF8-882B-84A6CEC13F4B}"/>
            </a:ext>
          </a:extLst>
        </xdr:cNvPr>
        <xdr:cNvSpPr txBox="1"/>
      </xdr:nvSpPr>
      <xdr:spPr>
        <a:xfrm>
          <a:off x="4014122" y="18823588"/>
          <a:ext cx="1045792" cy="3799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FORMA LIBRE</a:t>
          </a:r>
        </a:p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N° de Control</a:t>
          </a:r>
        </a:p>
      </xdr:txBody>
    </xdr:sp>
    <xdr:clientData/>
  </xdr:twoCellAnchor>
  <xdr:twoCellAnchor>
    <xdr:from>
      <xdr:col>9</xdr:col>
      <xdr:colOff>158514</xdr:colOff>
      <xdr:row>299</xdr:row>
      <xdr:rowOff>13671</xdr:rowOff>
    </xdr:from>
    <xdr:to>
      <xdr:col>10</xdr:col>
      <xdr:colOff>249114</xdr:colOff>
      <xdr:row>300</xdr:row>
      <xdr:rowOff>157430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CCC60979-4766-4BDE-B97A-9D38C5F01611}"/>
            </a:ext>
          </a:extLst>
        </xdr:cNvPr>
        <xdr:cNvSpPr txBox="1"/>
      </xdr:nvSpPr>
      <xdr:spPr>
        <a:xfrm>
          <a:off x="5061818" y="18823475"/>
          <a:ext cx="529579" cy="325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Arial" panose="020B0604020202020204" pitchFamily="34" charset="0"/>
              <a:ea typeface="Roboto" panose="02000000000000000000" pitchFamily="2" charset="0"/>
              <a:cs typeface="Arial" panose="020B0604020202020204" pitchFamily="34" charset="0"/>
            </a:rPr>
            <a:t>00-</a:t>
          </a:r>
          <a:endParaRPr lang="en-US" sz="1600">
            <a:solidFill>
              <a:srgbClr val="FF0000"/>
            </a:solidFill>
            <a:latin typeface="Arial" panose="020B0604020202020204" pitchFamily="34" charset="0"/>
            <a:ea typeface="Roboto" panose="02000000000000000000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322385</xdr:colOff>
      <xdr:row>295</xdr:row>
      <xdr:rowOff>52711</xdr:rowOff>
    </xdr:from>
    <xdr:to>
      <xdr:col>12</xdr:col>
      <xdr:colOff>0</xdr:colOff>
      <xdr:row>297</xdr:row>
      <xdr:rowOff>80211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2E64B395-26DD-48BB-855A-8A5D4D5E88AE}"/>
            </a:ext>
          </a:extLst>
        </xdr:cNvPr>
        <xdr:cNvSpPr txBox="1"/>
      </xdr:nvSpPr>
      <xdr:spPr>
        <a:xfrm>
          <a:off x="910450" y="18133646"/>
          <a:ext cx="5790180" cy="39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CALLE AYACUCHO, CASA Nro 36, SECTOR CASCO CENTRAL. CABIMAS - EDO. ZULIA ZONA POSTAL 4013          </a:t>
          </a:r>
        </a:p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TELF.: (0264) 241.65.04 - E-MAIL: LLLIMPORTCA@GMAIL.COM</a:t>
          </a:r>
        </a:p>
      </xdr:txBody>
    </xdr:sp>
    <xdr:clientData/>
  </xdr:twoCellAnchor>
  <xdr:twoCellAnchor>
    <xdr:from>
      <xdr:col>2</xdr:col>
      <xdr:colOff>122464</xdr:colOff>
      <xdr:row>297</xdr:row>
      <xdr:rowOff>78241</xdr:rowOff>
    </xdr:from>
    <xdr:to>
      <xdr:col>11</xdr:col>
      <xdr:colOff>488156</xdr:colOff>
      <xdr:row>297</xdr:row>
      <xdr:rowOff>83343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A977DFD2-F470-4E66-A28F-267B046B44F8}"/>
            </a:ext>
          </a:extLst>
        </xdr:cNvPr>
        <xdr:cNvCxnSpPr/>
      </xdr:nvCxnSpPr>
      <xdr:spPr>
        <a:xfrm>
          <a:off x="1240616" y="18523611"/>
          <a:ext cx="5360105" cy="510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119503</xdr:colOff>
      <xdr:row>297</xdr:row>
      <xdr:rowOff>32085</xdr:rowOff>
    </xdr:from>
    <xdr:to>
      <xdr:col>11</xdr:col>
      <xdr:colOff>482203</xdr:colOff>
      <xdr:row>297</xdr:row>
      <xdr:rowOff>35718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BEC6ECD4-B2B6-4C24-BDF8-9EBA84996888}"/>
            </a:ext>
          </a:extLst>
        </xdr:cNvPr>
        <xdr:cNvCxnSpPr/>
      </xdr:nvCxnSpPr>
      <xdr:spPr>
        <a:xfrm>
          <a:off x="1237655" y="18477455"/>
          <a:ext cx="5357113" cy="363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325589</xdr:colOff>
      <xdr:row>340</xdr:row>
      <xdr:rowOff>21979</xdr:rowOff>
    </xdr:from>
    <xdr:to>
      <xdr:col>11</xdr:col>
      <xdr:colOff>315515</xdr:colOff>
      <xdr:row>341</xdr:row>
      <xdr:rowOff>152948</xdr:rowOff>
    </xdr:to>
    <xdr:sp macro="" textlink="">
      <xdr:nvSpPr>
        <xdr:cNvPr id="62" name="Rectangle: Rounded Corners 61">
          <a:extLst>
            <a:ext uri="{FF2B5EF4-FFF2-40B4-BE49-F238E27FC236}">
              <a16:creationId xmlns:a16="http://schemas.microsoft.com/office/drawing/2014/main" id="{F7E67574-8C7A-4CBE-808B-1CDBFC25C295}"/>
            </a:ext>
          </a:extLst>
        </xdr:cNvPr>
        <xdr:cNvSpPr/>
      </xdr:nvSpPr>
      <xdr:spPr>
        <a:xfrm>
          <a:off x="325589" y="26310979"/>
          <a:ext cx="6102491" cy="304904"/>
        </a:xfrm>
        <a:prstGeom prst="roundRect">
          <a:avLst/>
        </a:prstGeom>
        <a:noFill/>
        <a:ln w="2857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249115</xdr:colOff>
      <xdr:row>335</xdr:row>
      <xdr:rowOff>175846</xdr:rowOff>
    </xdr:from>
    <xdr:to>
      <xdr:col>4</xdr:col>
      <xdr:colOff>395654</xdr:colOff>
      <xdr:row>335</xdr:row>
      <xdr:rowOff>175846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7C78D279-9A1F-4254-A66F-5E71037E6C31}"/>
            </a:ext>
          </a:extLst>
        </xdr:cNvPr>
        <xdr:cNvCxnSpPr/>
      </xdr:nvCxnSpPr>
      <xdr:spPr>
        <a:xfrm>
          <a:off x="1367267" y="25553759"/>
          <a:ext cx="1430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30088</xdr:colOff>
      <xdr:row>346</xdr:row>
      <xdr:rowOff>85396</xdr:rowOff>
    </xdr:from>
    <xdr:to>
      <xdr:col>3</xdr:col>
      <xdr:colOff>95779</xdr:colOff>
      <xdr:row>347</xdr:row>
      <xdr:rowOff>59122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9ECC9671-579A-480D-ABAA-069C40820C53}"/>
            </a:ext>
          </a:extLst>
        </xdr:cNvPr>
        <xdr:cNvSpPr txBox="1"/>
      </xdr:nvSpPr>
      <xdr:spPr>
        <a:xfrm>
          <a:off x="1148240" y="27475983"/>
          <a:ext cx="736582" cy="155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>
              <a:latin typeface="Arial" panose="020B0604020202020204" pitchFamily="34" charset="0"/>
              <a:cs typeface="Arial" panose="020B0604020202020204" pitchFamily="34" charset="0"/>
            </a:rPr>
            <a:t>J-40542036-0</a:t>
          </a:r>
        </a:p>
      </xdr:txBody>
    </xdr:sp>
    <xdr:clientData/>
  </xdr:twoCellAnchor>
  <xdr:twoCellAnchor>
    <xdr:from>
      <xdr:col>5</xdr:col>
      <xdr:colOff>974405</xdr:colOff>
      <xdr:row>348</xdr:row>
      <xdr:rowOff>13784</xdr:rowOff>
    </xdr:from>
    <xdr:to>
      <xdr:col>9</xdr:col>
      <xdr:colOff>156610</xdr:colOff>
      <xdr:row>350</xdr:row>
      <xdr:rowOff>29308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272483F6-30CC-4B56-83BB-33BB54D4C775}"/>
            </a:ext>
          </a:extLst>
        </xdr:cNvPr>
        <xdr:cNvSpPr txBox="1"/>
      </xdr:nvSpPr>
      <xdr:spPr>
        <a:xfrm>
          <a:off x="4014122" y="27768806"/>
          <a:ext cx="1045792" cy="3799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FORMA LIBRE</a:t>
          </a:r>
        </a:p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N° de Control</a:t>
          </a:r>
        </a:p>
      </xdr:txBody>
    </xdr:sp>
    <xdr:clientData/>
  </xdr:twoCellAnchor>
  <xdr:twoCellAnchor>
    <xdr:from>
      <xdr:col>9</xdr:col>
      <xdr:colOff>158514</xdr:colOff>
      <xdr:row>348</xdr:row>
      <xdr:rowOff>13671</xdr:rowOff>
    </xdr:from>
    <xdr:to>
      <xdr:col>10</xdr:col>
      <xdr:colOff>249114</xdr:colOff>
      <xdr:row>349</xdr:row>
      <xdr:rowOff>157430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8A02F6E9-C833-4FD6-A1C1-4F58A2B333EC}"/>
            </a:ext>
          </a:extLst>
        </xdr:cNvPr>
        <xdr:cNvSpPr txBox="1"/>
      </xdr:nvSpPr>
      <xdr:spPr>
        <a:xfrm>
          <a:off x="5061818" y="27768693"/>
          <a:ext cx="529579" cy="325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Arial" panose="020B0604020202020204" pitchFamily="34" charset="0"/>
              <a:ea typeface="Roboto" panose="02000000000000000000" pitchFamily="2" charset="0"/>
              <a:cs typeface="Arial" panose="020B0604020202020204" pitchFamily="34" charset="0"/>
            </a:rPr>
            <a:t>00-</a:t>
          </a:r>
          <a:endParaRPr lang="en-US" sz="1600">
            <a:solidFill>
              <a:srgbClr val="FF0000"/>
            </a:solidFill>
            <a:latin typeface="Arial" panose="020B0604020202020204" pitchFamily="34" charset="0"/>
            <a:ea typeface="Roboto" panose="02000000000000000000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322385</xdr:colOff>
      <xdr:row>344</xdr:row>
      <xdr:rowOff>52711</xdr:rowOff>
    </xdr:from>
    <xdr:to>
      <xdr:col>12</xdr:col>
      <xdr:colOff>0</xdr:colOff>
      <xdr:row>346</xdr:row>
      <xdr:rowOff>80211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C7E4149C-F802-467A-B681-31B8DB472FF4}"/>
            </a:ext>
          </a:extLst>
        </xdr:cNvPr>
        <xdr:cNvSpPr txBox="1"/>
      </xdr:nvSpPr>
      <xdr:spPr>
        <a:xfrm>
          <a:off x="910450" y="27078863"/>
          <a:ext cx="5790180" cy="39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CALLE AYACUCHO, CASA Nro 36, SECTOR CASCO CENTRAL. CABIMAS - EDO. ZULIA ZONA POSTAL 4013          </a:t>
          </a:r>
        </a:p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TELF.: (0264) 241.65.04 - E-MAIL: LLLIMPORTCA@GMAIL.COM</a:t>
          </a:r>
        </a:p>
      </xdr:txBody>
    </xdr:sp>
    <xdr:clientData/>
  </xdr:twoCellAnchor>
  <xdr:twoCellAnchor>
    <xdr:from>
      <xdr:col>2</xdr:col>
      <xdr:colOff>122464</xdr:colOff>
      <xdr:row>346</xdr:row>
      <xdr:rowOff>78241</xdr:rowOff>
    </xdr:from>
    <xdr:to>
      <xdr:col>11</xdr:col>
      <xdr:colOff>488156</xdr:colOff>
      <xdr:row>346</xdr:row>
      <xdr:rowOff>83343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75D9513D-0A7A-413C-8DAD-F4FB9E57C0DE}"/>
            </a:ext>
          </a:extLst>
        </xdr:cNvPr>
        <xdr:cNvCxnSpPr/>
      </xdr:nvCxnSpPr>
      <xdr:spPr>
        <a:xfrm>
          <a:off x="1240616" y="27468828"/>
          <a:ext cx="5360105" cy="510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119503</xdr:colOff>
      <xdr:row>346</xdr:row>
      <xdr:rowOff>32085</xdr:rowOff>
    </xdr:from>
    <xdr:to>
      <xdr:col>11</xdr:col>
      <xdr:colOff>482203</xdr:colOff>
      <xdr:row>346</xdr:row>
      <xdr:rowOff>35718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55E36AA6-6E5B-47EF-BEBE-1B74390FEA20}"/>
            </a:ext>
          </a:extLst>
        </xdr:cNvPr>
        <xdr:cNvCxnSpPr/>
      </xdr:nvCxnSpPr>
      <xdr:spPr>
        <a:xfrm>
          <a:off x="1237655" y="27422672"/>
          <a:ext cx="5357113" cy="363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325589</xdr:colOff>
      <xdr:row>389</xdr:row>
      <xdr:rowOff>21979</xdr:rowOff>
    </xdr:from>
    <xdr:to>
      <xdr:col>11</xdr:col>
      <xdr:colOff>315515</xdr:colOff>
      <xdr:row>390</xdr:row>
      <xdr:rowOff>152948</xdr:rowOff>
    </xdr:to>
    <xdr:sp macro="" textlink="">
      <xdr:nvSpPr>
        <xdr:cNvPr id="70" name="Rectangle: Rounded Corners 69">
          <a:extLst>
            <a:ext uri="{FF2B5EF4-FFF2-40B4-BE49-F238E27FC236}">
              <a16:creationId xmlns:a16="http://schemas.microsoft.com/office/drawing/2014/main" id="{9B7934EB-CF6C-4B4E-A87B-EE15064D792B}"/>
            </a:ext>
          </a:extLst>
        </xdr:cNvPr>
        <xdr:cNvSpPr/>
      </xdr:nvSpPr>
      <xdr:spPr>
        <a:xfrm>
          <a:off x="325589" y="35256196"/>
          <a:ext cx="6102491" cy="304904"/>
        </a:xfrm>
        <a:prstGeom prst="roundRect">
          <a:avLst/>
        </a:prstGeom>
        <a:noFill/>
        <a:ln w="2857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249115</xdr:colOff>
      <xdr:row>384</xdr:row>
      <xdr:rowOff>175846</xdr:rowOff>
    </xdr:from>
    <xdr:to>
      <xdr:col>4</xdr:col>
      <xdr:colOff>395654</xdr:colOff>
      <xdr:row>384</xdr:row>
      <xdr:rowOff>175846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1DE57829-5599-41C9-91A6-1A0E03FEABC2}"/>
            </a:ext>
          </a:extLst>
        </xdr:cNvPr>
        <xdr:cNvCxnSpPr/>
      </xdr:nvCxnSpPr>
      <xdr:spPr>
        <a:xfrm>
          <a:off x="1367267" y="34498976"/>
          <a:ext cx="1430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196</xdr:row>
      <xdr:rowOff>0</xdr:rowOff>
    </xdr:from>
    <xdr:to>
      <xdr:col>2</xdr:col>
      <xdr:colOff>72379</xdr:colOff>
      <xdr:row>202</xdr:row>
      <xdr:rowOff>173935</xdr:rowOff>
    </xdr:to>
    <xdr:pic>
      <xdr:nvPicPr>
        <xdr:cNvPr id="74" name="Picture 73" descr="A logo of an airplane&#10;&#10;Description automatically generated">
          <a:extLst>
            <a:ext uri="{FF2B5EF4-FFF2-40B4-BE49-F238E27FC236}">
              <a16:creationId xmlns:a16="http://schemas.microsoft.com/office/drawing/2014/main" id="{45289E16-5387-4DA6-A142-2B4105A0E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5780870"/>
          <a:ext cx="1190531" cy="12755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245</xdr:row>
      <xdr:rowOff>0</xdr:rowOff>
    </xdr:from>
    <xdr:to>
      <xdr:col>2</xdr:col>
      <xdr:colOff>72379</xdr:colOff>
      <xdr:row>251</xdr:row>
      <xdr:rowOff>173935</xdr:rowOff>
    </xdr:to>
    <xdr:pic>
      <xdr:nvPicPr>
        <xdr:cNvPr id="75" name="Picture 74" descr="A logo of an airplane&#10;&#10;Description automatically generated">
          <a:extLst>
            <a:ext uri="{FF2B5EF4-FFF2-40B4-BE49-F238E27FC236}">
              <a16:creationId xmlns:a16="http://schemas.microsoft.com/office/drawing/2014/main" id="{741EC6AB-4288-4716-9C51-A832D9936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4726087"/>
          <a:ext cx="1190531" cy="12755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294</xdr:row>
      <xdr:rowOff>0</xdr:rowOff>
    </xdr:from>
    <xdr:to>
      <xdr:col>2</xdr:col>
      <xdr:colOff>72379</xdr:colOff>
      <xdr:row>300</xdr:row>
      <xdr:rowOff>173935</xdr:rowOff>
    </xdr:to>
    <xdr:pic>
      <xdr:nvPicPr>
        <xdr:cNvPr id="76" name="Picture 75" descr="A logo of an airplane&#10;&#10;Description automatically generated">
          <a:extLst>
            <a:ext uri="{FF2B5EF4-FFF2-40B4-BE49-F238E27FC236}">
              <a16:creationId xmlns:a16="http://schemas.microsoft.com/office/drawing/2014/main" id="{90913E8B-9D5A-4FC6-A9DC-F980F1B35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3671304"/>
          <a:ext cx="1190531" cy="12755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343</xdr:row>
      <xdr:rowOff>0</xdr:rowOff>
    </xdr:from>
    <xdr:to>
      <xdr:col>2</xdr:col>
      <xdr:colOff>72379</xdr:colOff>
      <xdr:row>349</xdr:row>
      <xdr:rowOff>173935</xdr:rowOff>
    </xdr:to>
    <xdr:pic>
      <xdr:nvPicPr>
        <xdr:cNvPr id="77" name="Picture 76" descr="A logo of an airplane&#10;&#10;Description automatically generated">
          <a:extLst>
            <a:ext uri="{FF2B5EF4-FFF2-40B4-BE49-F238E27FC236}">
              <a16:creationId xmlns:a16="http://schemas.microsoft.com/office/drawing/2014/main" id="{AA9ABE02-781E-4371-A724-9DFA80A8E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2616522"/>
          <a:ext cx="1190531" cy="1275522"/>
        </a:xfrm>
        <a:prstGeom prst="rect">
          <a:avLst/>
        </a:prstGeom>
      </xdr:spPr>
    </xdr:pic>
    <xdr:clientData/>
  </xdr:twoCellAnchor>
  <xdr:twoCellAnchor>
    <xdr:from>
      <xdr:col>2</xdr:col>
      <xdr:colOff>30088</xdr:colOff>
      <xdr:row>395</xdr:row>
      <xdr:rowOff>85396</xdr:rowOff>
    </xdr:from>
    <xdr:to>
      <xdr:col>3</xdr:col>
      <xdr:colOff>95779</xdr:colOff>
      <xdr:row>396</xdr:row>
      <xdr:rowOff>59122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49A23BAE-D7BA-4A3F-A03E-386CA50941B8}"/>
            </a:ext>
          </a:extLst>
        </xdr:cNvPr>
        <xdr:cNvSpPr txBox="1"/>
      </xdr:nvSpPr>
      <xdr:spPr>
        <a:xfrm>
          <a:off x="1148240" y="640331"/>
          <a:ext cx="736582" cy="155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>
              <a:latin typeface="Arial" panose="020B0604020202020204" pitchFamily="34" charset="0"/>
              <a:cs typeface="Arial" panose="020B0604020202020204" pitchFamily="34" charset="0"/>
            </a:rPr>
            <a:t>J-40542036-0</a:t>
          </a:r>
        </a:p>
      </xdr:txBody>
    </xdr:sp>
    <xdr:clientData/>
  </xdr:twoCellAnchor>
  <xdr:twoCellAnchor>
    <xdr:from>
      <xdr:col>5</xdr:col>
      <xdr:colOff>974405</xdr:colOff>
      <xdr:row>397</xdr:row>
      <xdr:rowOff>13784</xdr:rowOff>
    </xdr:from>
    <xdr:to>
      <xdr:col>9</xdr:col>
      <xdr:colOff>156610</xdr:colOff>
      <xdr:row>399</xdr:row>
      <xdr:rowOff>29308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1B8A413C-00D2-4EE5-AD22-682C3B98A8D3}"/>
            </a:ext>
          </a:extLst>
        </xdr:cNvPr>
        <xdr:cNvSpPr txBox="1"/>
      </xdr:nvSpPr>
      <xdr:spPr>
        <a:xfrm>
          <a:off x="4014122" y="933154"/>
          <a:ext cx="1045792" cy="37995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FORMA LIBRE</a:t>
          </a:r>
        </a:p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N° de Control</a:t>
          </a:r>
        </a:p>
      </xdr:txBody>
    </xdr:sp>
    <xdr:clientData/>
  </xdr:twoCellAnchor>
  <xdr:twoCellAnchor>
    <xdr:from>
      <xdr:col>9</xdr:col>
      <xdr:colOff>158514</xdr:colOff>
      <xdr:row>397</xdr:row>
      <xdr:rowOff>13671</xdr:rowOff>
    </xdr:from>
    <xdr:to>
      <xdr:col>10</xdr:col>
      <xdr:colOff>249114</xdr:colOff>
      <xdr:row>398</xdr:row>
      <xdr:rowOff>157430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2418C9A5-5FB9-4060-8992-61E8A03EBF33}"/>
            </a:ext>
          </a:extLst>
        </xdr:cNvPr>
        <xdr:cNvSpPr txBox="1"/>
      </xdr:nvSpPr>
      <xdr:spPr>
        <a:xfrm>
          <a:off x="5061818" y="933041"/>
          <a:ext cx="529579" cy="325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Arial" panose="020B0604020202020204" pitchFamily="34" charset="0"/>
              <a:ea typeface="Roboto" panose="02000000000000000000" pitchFamily="2" charset="0"/>
              <a:cs typeface="Arial" panose="020B0604020202020204" pitchFamily="34" charset="0"/>
            </a:rPr>
            <a:t>00-</a:t>
          </a:r>
          <a:endParaRPr lang="en-US" sz="1600">
            <a:solidFill>
              <a:srgbClr val="FF0000"/>
            </a:solidFill>
            <a:latin typeface="Arial" panose="020B0604020202020204" pitchFamily="34" charset="0"/>
            <a:ea typeface="Roboto" panose="02000000000000000000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322385</xdr:colOff>
      <xdr:row>393</xdr:row>
      <xdr:rowOff>52711</xdr:rowOff>
    </xdr:from>
    <xdr:to>
      <xdr:col>12</xdr:col>
      <xdr:colOff>0</xdr:colOff>
      <xdr:row>395</xdr:row>
      <xdr:rowOff>80211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26E61354-1DD6-4E81-9191-22339F26F79E}"/>
            </a:ext>
          </a:extLst>
        </xdr:cNvPr>
        <xdr:cNvSpPr txBox="1"/>
      </xdr:nvSpPr>
      <xdr:spPr>
        <a:xfrm>
          <a:off x="910450" y="243211"/>
          <a:ext cx="5790180" cy="39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CALLE AYACUCHO, CASA Nro 36, SECTOR CASCO CENTRAL. CABIMAS - EDO. ZULIA ZONA POSTAL 4013          </a:t>
          </a:r>
        </a:p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TELF.: (0264) 241.65.04 - E-MAIL: LLLIMPORTCA@GMAIL.COM</a:t>
          </a:r>
        </a:p>
      </xdr:txBody>
    </xdr:sp>
    <xdr:clientData/>
  </xdr:twoCellAnchor>
  <xdr:twoCellAnchor>
    <xdr:from>
      <xdr:col>2</xdr:col>
      <xdr:colOff>122464</xdr:colOff>
      <xdr:row>395</xdr:row>
      <xdr:rowOff>78241</xdr:rowOff>
    </xdr:from>
    <xdr:to>
      <xdr:col>11</xdr:col>
      <xdr:colOff>488156</xdr:colOff>
      <xdr:row>395</xdr:row>
      <xdr:rowOff>83343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12071FD9-9BA6-453E-83AD-FA2B71D52331}"/>
            </a:ext>
          </a:extLst>
        </xdr:cNvPr>
        <xdr:cNvCxnSpPr/>
      </xdr:nvCxnSpPr>
      <xdr:spPr>
        <a:xfrm>
          <a:off x="1240616" y="633176"/>
          <a:ext cx="5360105" cy="510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119503</xdr:colOff>
      <xdr:row>395</xdr:row>
      <xdr:rowOff>32085</xdr:rowOff>
    </xdr:from>
    <xdr:to>
      <xdr:col>11</xdr:col>
      <xdr:colOff>482203</xdr:colOff>
      <xdr:row>395</xdr:row>
      <xdr:rowOff>35718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B24E7688-A99B-449F-B646-66F76592AE65}"/>
            </a:ext>
          </a:extLst>
        </xdr:cNvPr>
        <xdr:cNvCxnSpPr/>
      </xdr:nvCxnSpPr>
      <xdr:spPr>
        <a:xfrm>
          <a:off x="1237655" y="587020"/>
          <a:ext cx="5357113" cy="363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325589</xdr:colOff>
      <xdr:row>438</xdr:row>
      <xdr:rowOff>21979</xdr:rowOff>
    </xdr:from>
    <xdr:to>
      <xdr:col>11</xdr:col>
      <xdr:colOff>315515</xdr:colOff>
      <xdr:row>439</xdr:row>
      <xdr:rowOff>152948</xdr:rowOff>
    </xdr:to>
    <xdr:sp macro="" textlink="">
      <xdr:nvSpPr>
        <xdr:cNvPr id="85" name="Rectangle: Rounded Corners 84">
          <a:extLst>
            <a:ext uri="{FF2B5EF4-FFF2-40B4-BE49-F238E27FC236}">
              <a16:creationId xmlns:a16="http://schemas.microsoft.com/office/drawing/2014/main" id="{7391068D-E2CB-4FDC-BD8E-F0CAE2B64EBA}"/>
            </a:ext>
          </a:extLst>
        </xdr:cNvPr>
        <xdr:cNvSpPr/>
      </xdr:nvSpPr>
      <xdr:spPr>
        <a:xfrm>
          <a:off x="325589" y="8420544"/>
          <a:ext cx="6102491" cy="304904"/>
        </a:xfrm>
        <a:prstGeom prst="roundRect">
          <a:avLst/>
        </a:prstGeom>
        <a:noFill/>
        <a:ln w="2857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249115</xdr:colOff>
      <xdr:row>433</xdr:row>
      <xdr:rowOff>175846</xdr:rowOff>
    </xdr:from>
    <xdr:to>
      <xdr:col>4</xdr:col>
      <xdr:colOff>395654</xdr:colOff>
      <xdr:row>433</xdr:row>
      <xdr:rowOff>175846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4345BF50-2035-4AE4-8499-8B4F542E3D2B}"/>
            </a:ext>
          </a:extLst>
        </xdr:cNvPr>
        <xdr:cNvCxnSpPr/>
      </xdr:nvCxnSpPr>
      <xdr:spPr>
        <a:xfrm>
          <a:off x="1367267" y="7663324"/>
          <a:ext cx="1430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30088</xdr:colOff>
      <xdr:row>444</xdr:row>
      <xdr:rowOff>85396</xdr:rowOff>
    </xdr:from>
    <xdr:to>
      <xdr:col>3</xdr:col>
      <xdr:colOff>95779</xdr:colOff>
      <xdr:row>445</xdr:row>
      <xdr:rowOff>59122</xdr:rowOff>
    </xdr:to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1EFA0D5A-6EE7-4734-A78C-2A4F6F3E12BA}"/>
            </a:ext>
          </a:extLst>
        </xdr:cNvPr>
        <xdr:cNvSpPr txBox="1"/>
      </xdr:nvSpPr>
      <xdr:spPr>
        <a:xfrm>
          <a:off x="1148240" y="9585548"/>
          <a:ext cx="736582" cy="1559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>
              <a:latin typeface="Arial" panose="020B0604020202020204" pitchFamily="34" charset="0"/>
              <a:cs typeface="Arial" panose="020B0604020202020204" pitchFamily="34" charset="0"/>
            </a:rPr>
            <a:t>J-40542036-0</a:t>
          </a:r>
        </a:p>
      </xdr:txBody>
    </xdr:sp>
    <xdr:clientData/>
  </xdr:twoCellAnchor>
  <xdr:twoCellAnchor>
    <xdr:from>
      <xdr:col>5</xdr:col>
      <xdr:colOff>974405</xdr:colOff>
      <xdr:row>446</xdr:row>
      <xdr:rowOff>13784</xdr:rowOff>
    </xdr:from>
    <xdr:to>
      <xdr:col>9</xdr:col>
      <xdr:colOff>156610</xdr:colOff>
      <xdr:row>448</xdr:row>
      <xdr:rowOff>29308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4C1145C6-DA93-4053-8E8E-8FD33B8E66DE}"/>
            </a:ext>
          </a:extLst>
        </xdr:cNvPr>
        <xdr:cNvSpPr txBox="1"/>
      </xdr:nvSpPr>
      <xdr:spPr>
        <a:xfrm>
          <a:off x="4014122" y="9878371"/>
          <a:ext cx="1045792" cy="3799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FORMA LIBRE</a:t>
          </a:r>
        </a:p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N° de Control</a:t>
          </a:r>
        </a:p>
      </xdr:txBody>
    </xdr:sp>
    <xdr:clientData/>
  </xdr:twoCellAnchor>
  <xdr:twoCellAnchor>
    <xdr:from>
      <xdr:col>9</xdr:col>
      <xdr:colOff>158514</xdr:colOff>
      <xdr:row>446</xdr:row>
      <xdr:rowOff>13671</xdr:rowOff>
    </xdr:from>
    <xdr:to>
      <xdr:col>10</xdr:col>
      <xdr:colOff>249114</xdr:colOff>
      <xdr:row>447</xdr:row>
      <xdr:rowOff>157430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1E2E05C2-77D3-48CF-A125-2732B64F646B}"/>
            </a:ext>
          </a:extLst>
        </xdr:cNvPr>
        <xdr:cNvSpPr txBox="1"/>
      </xdr:nvSpPr>
      <xdr:spPr>
        <a:xfrm>
          <a:off x="5061818" y="9878258"/>
          <a:ext cx="529579" cy="325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Arial" panose="020B0604020202020204" pitchFamily="34" charset="0"/>
              <a:ea typeface="Roboto" panose="02000000000000000000" pitchFamily="2" charset="0"/>
              <a:cs typeface="Arial" panose="020B0604020202020204" pitchFamily="34" charset="0"/>
            </a:rPr>
            <a:t>00-</a:t>
          </a:r>
          <a:endParaRPr lang="en-US" sz="1600">
            <a:solidFill>
              <a:srgbClr val="FF0000"/>
            </a:solidFill>
            <a:latin typeface="Arial" panose="020B0604020202020204" pitchFamily="34" charset="0"/>
            <a:ea typeface="Roboto" panose="02000000000000000000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322385</xdr:colOff>
      <xdr:row>442</xdr:row>
      <xdr:rowOff>52711</xdr:rowOff>
    </xdr:from>
    <xdr:to>
      <xdr:col>12</xdr:col>
      <xdr:colOff>0</xdr:colOff>
      <xdr:row>444</xdr:row>
      <xdr:rowOff>80211</xdr:rowOff>
    </xdr:to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695F57BF-46B8-4B9F-BA7B-4E6F5D7BD6F4}"/>
            </a:ext>
          </a:extLst>
        </xdr:cNvPr>
        <xdr:cNvSpPr txBox="1"/>
      </xdr:nvSpPr>
      <xdr:spPr>
        <a:xfrm>
          <a:off x="910450" y="9188428"/>
          <a:ext cx="5790180" cy="39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CALLE AYACUCHO, CASA Nro 36, SECTOR CASCO CENTRAL. CABIMAS - EDO. ZULIA ZONA POSTAL 4013          </a:t>
          </a:r>
        </a:p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TELF.: (0264) 241.65.04 - E-MAIL: LLLIMPORTCA@GMAIL.COM</a:t>
          </a:r>
        </a:p>
      </xdr:txBody>
    </xdr:sp>
    <xdr:clientData/>
  </xdr:twoCellAnchor>
  <xdr:twoCellAnchor>
    <xdr:from>
      <xdr:col>2</xdr:col>
      <xdr:colOff>122464</xdr:colOff>
      <xdr:row>444</xdr:row>
      <xdr:rowOff>78241</xdr:rowOff>
    </xdr:from>
    <xdr:to>
      <xdr:col>11</xdr:col>
      <xdr:colOff>488156</xdr:colOff>
      <xdr:row>444</xdr:row>
      <xdr:rowOff>83343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id="{4293B72B-94C7-4684-AE92-41C8B1C107E2}"/>
            </a:ext>
          </a:extLst>
        </xdr:cNvPr>
        <xdr:cNvCxnSpPr/>
      </xdr:nvCxnSpPr>
      <xdr:spPr>
        <a:xfrm>
          <a:off x="1240616" y="9578393"/>
          <a:ext cx="5360105" cy="510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119503</xdr:colOff>
      <xdr:row>444</xdr:row>
      <xdr:rowOff>32085</xdr:rowOff>
    </xdr:from>
    <xdr:to>
      <xdr:col>11</xdr:col>
      <xdr:colOff>482203</xdr:colOff>
      <xdr:row>444</xdr:row>
      <xdr:rowOff>35718</xdr:rowOff>
    </xdr:to>
    <xdr:cxnSp macro="">
      <xdr:nvCxnSpPr>
        <xdr:cNvPr id="92" name="Straight Connector 91">
          <a:extLst>
            <a:ext uri="{FF2B5EF4-FFF2-40B4-BE49-F238E27FC236}">
              <a16:creationId xmlns:a16="http://schemas.microsoft.com/office/drawing/2014/main" id="{8127B581-964C-4CE1-B615-C2D4D73FF2C5}"/>
            </a:ext>
          </a:extLst>
        </xdr:cNvPr>
        <xdr:cNvCxnSpPr/>
      </xdr:nvCxnSpPr>
      <xdr:spPr>
        <a:xfrm>
          <a:off x="1237655" y="9532237"/>
          <a:ext cx="5357113" cy="363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325589</xdr:colOff>
      <xdr:row>487</xdr:row>
      <xdr:rowOff>21979</xdr:rowOff>
    </xdr:from>
    <xdr:to>
      <xdr:col>11</xdr:col>
      <xdr:colOff>315515</xdr:colOff>
      <xdr:row>488</xdr:row>
      <xdr:rowOff>152948</xdr:rowOff>
    </xdr:to>
    <xdr:sp macro="" textlink="">
      <xdr:nvSpPr>
        <xdr:cNvPr id="93" name="Rectangle: Rounded Corners 92">
          <a:extLst>
            <a:ext uri="{FF2B5EF4-FFF2-40B4-BE49-F238E27FC236}">
              <a16:creationId xmlns:a16="http://schemas.microsoft.com/office/drawing/2014/main" id="{3C0390B9-0D20-4BA5-B882-E3F8BF7F19A0}"/>
            </a:ext>
          </a:extLst>
        </xdr:cNvPr>
        <xdr:cNvSpPr/>
      </xdr:nvSpPr>
      <xdr:spPr>
        <a:xfrm>
          <a:off x="325589" y="17365762"/>
          <a:ext cx="6102491" cy="304903"/>
        </a:xfrm>
        <a:prstGeom prst="roundRect">
          <a:avLst/>
        </a:prstGeom>
        <a:noFill/>
        <a:ln w="2857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249115</xdr:colOff>
      <xdr:row>482</xdr:row>
      <xdr:rowOff>175846</xdr:rowOff>
    </xdr:from>
    <xdr:to>
      <xdr:col>4</xdr:col>
      <xdr:colOff>395654</xdr:colOff>
      <xdr:row>482</xdr:row>
      <xdr:rowOff>175846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B917C816-52CD-4B17-BE79-6B9B37B86A52}"/>
            </a:ext>
          </a:extLst>
        </xdr:cNvPr>
        <xdr:cNvCxnSpPr/>
      </xdr:nvCxnSpPr>
      <xdr:spPr>
        <a:xfrm>
          <a:off x="1367267" y="16608542"/>
          <a:ext cx="1430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30088</xdr:colOff>
      <xdr:row>493</xdr:row>
      <xdr:rowOff>85396</xdr:rowOff>
    </xdr:from>
    <xdr:to>
      <xdr:col>3</xdr:col>
      <xdr:colOff>95779</xdr:colOff>
      <xdr:row>494</xdr:row>
      <xdr:rowOff>59122</xdr:rowOff>
    </xdr:to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65EAFBDD-BA3A-4EE6-9FFE-239C8EF9EFF2}"/>
            </a:ext>
          </a:extLst>
        </xdr:cNvPr>
        <xdr:cNvSpPr txBox="1"/>
      </xdr:nvSpPr>
      <xdr:spPr>
        <a:xfrm>
          <a:off x="1148240" y="18530766"/>
          <a:ext cx="736582" cy="155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>
              <a:latin typeface="Arial" panose="020B0604020202020204" pitchFamily="34" charset="0"/>
              <a:cs typeface="Arial" panose="020B0604020202020204" pitchFamily="34" charset="0"/>
            </a:rPr>
            <a:t>J-40542036-0</a:t>
          </a:r>
        </a:p>
      </xdr:txBody>
    </xdr:sp>
    <xdr:clientData/>
  </xdr:twoCellAnchor>
  <xdr:twoCellAnchor>
    <xdr:from>
      <xdr:col>5</xdr:col>
      <xdr:colOff>974405</xdr:colOff>
      <xdr:row>495</xdr:row>
      <xdr:rowOff>13784</xdr:rowOff>
    </xdr:from>
    <xdr:to>
      <xdr:col>9</xdr:col>
      <xdr:colOff>156610</xdr:colOff>
      <xdr:row>497</xdr:row>
      <xdr:rowOff>29308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DADAD62F-B3CB-465B-AA35-452AFB54AAF2}"/>
            </a:ext>
          </a:extLst>
        </xdr:cNvPr>
        <xdr:cNvSpPr txBox="1"/>
      </xdr:nvSpPr>
      <xdr:spPr>
        <a:xfrm>
          <a:off x="4014122" y="18823588"/>
          <a:ext cx="1045792" cy="3799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FORMA LIBRE</a:t>
          </a:r>
        </a:p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N° de Control</a:t>
          </a:r>
        </a:p>
      </xdr:txBody>
    </xdr:sp>
    <xdr:clientData/>
  </xdr:twoCellAnchor>
  <xdr:twoCellAnchor>
    <xdr:from>
      <xdr:col>9</xdr:col>
      <xdr:colOff>158514</xdr:colOff>
      <xdr:row>495</xdr:row>
      <xdr:rowOff>13671</xdr:rowOff>
    </xdr:from>
    <xdr:to>
      <xdr:col>10</xdr:col>
      <xdr:colOff>249114</xdr:colOff>
      <xdr:row>496</xdr:row>
      <xdr:rowOff>157430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99B22C1D-DB1B-4668-8FCB-951DD6452A10}"/>
            </a:ext>
          </a:extLst>
        </xdr:cNvPr>
        <xdr:cNvSpPr txBox="1"/>
      </xdr:nvSpPr>
      <xdr:spPr>
        <a:xfrm>
          <a:off x="5061818" y="18823475"/>
          <a:ext cx="529579" cy="325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Arial" panose="020B0604020202020204" pitchFamily="34" charset="0"/>
              <a:ea typeface="Roboto" panose="02000000000000000000" pitchFamily="2" charset="0"/>
              <a:cs typeface="Arial" panose="020B0604020202020204" pitchFamily="34" charset="0"/>
            </a:rPr>
            <a:t>00-</a:t>
          </a:r>
          <a:endParaRPr lang="en-US" sz="1600">
            <a:solidFill>
              <a:srgbClr val="FF0000"/>
            </a:solidFill>
            <a:latin typeface="Arial" panose="020B0604020202020204" pitchFamily="34" charset="0"/>
            <a:ea typeface="Roboto" panose="02000000000000000000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322385</xdr:colOff>
      <xdr:row>491</xdr:row>
      <xdr:rowOff>52711</xdr:rowOff>
    </xdr:from>
    <xdr:to>
      <xdr:col>12</xdr:col>
      <xdr:colOff>0</xdr:colOff>
      <xdr:row>493</xdr:row>
      <xdr:rowOff>80211</xdr:rowOff>
    </xdr:to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2E27C09C-76E2-46A0-8A70-4D6333726065}"/>
            </a:ext>
          </a:extLst>
        </xdr:cNvPr>
        <xdr:cNvSpPr txBox="1"/>
      </xdr:nvSpPr>
      <xdr:spPr>
        <a:xfrm>
          <a:off x="910450" y="18133646"/>
          <a:ext cx="5790180" cy="39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CALLE AYACUCHO, CASA Nro 36, SECTOR CASCO CENTRAL. CABIMAS - EDO. ZULIA ZONA POSTAL 4013          </a:t>
          </a:r>
        </a:p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TELF.: (0264) 241.65.04 - E-MAIL: LLLIMPORTCA@GMAIL.COM</a:t>
          </a:r>
        </a:p>
      </xdr:txBody>
    </xdr:sp>
    <xdr:clientData/>
  </xdr:twoCellAnchor>
  <xdr:twoCellAnchor>
    <xdr:from>
      <xdr:col>2</xdr:col>
      <xdr:colOff>122464</xdr:colOff>
      <xdr:row>493</xdr:row>
      <xdr:rowOff>78241</xdr:rowOff>
    </xdr:from>
    <xdr:to>
      <xdr:col>11</xdr:col>
      <xdr:colOff>488156</xdr:colOff>
      <xdr:row>493</xdr:row>
      <xdr:rowOff>83343</xdr:rowOff>
    </xdr:to>
    <xdr:cxnSp macro="">
      <xdr:nvCxnSpPr>
        <xdr:cNvPr id="100" name="Straight Connector 99">
          <a:extLst>
            <a:ext uri="{FF2B5EF4-FFF2-40B4-BE49-F238E27FC236}">
              <a16:creationId xmlns:a16="http://schemas.microsoft.com/office/drawing/2014/main" id="{FCBCC6AE-7465-466D-AF78-7199C8472BAC}"/>
            </a:ext>
          </a:extLst>
        </xdr:cNvPr>
        <xdr:cNvCxnSpPr/>
      </xdr:nvCxnSpPr>
      <xdr:spPr>
        <a:xfrm>
          <a:off x="1240616" y="18523611"/>
          <a:ext cx="5360105" cy="510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119503</xdr:colOff>
      <xdr:row>493</xdr:row>
      <xdr:rowOff>32085</xdr:rowOff>
    </xdr:from>
    <xdr:to>
      <xdr:col>11</xdr:col>
      <xdr:colOff>482203</xdr:colOff>
      <xdr:row>493</xdr:row>
      <xdr:rowOff>35718</xdr:rowOff>
    </xdr:to>
    <xdr:cxnSp macro="">
      <xdr:nvCxnSpPr>
        <xdr:cNvPr id="101" name="Straight Connector 100">
          <a:extLst>
            <a:ext uri="{FF2B5EF4-FFF2-40B4-BE49-F238E27FC236}">
              <a16:creationId xmlns:a16="http://schemas.microsoft.com/office/drawing/2014/main" id="{A70CA829-3FAE-427E-92FC-5FA166D5A5EE}"/>
            </a:ext>
          </a:extLst>
        </xdr:cNvPr>
        <xdr:cNvCxnSpPr/>
      </xdr:nvCxnSpPr>
      <xdr:spPr>
        <a:xfrm>
          <a:off x="1237655" y="18477455"/>
          <a:ext cx="5357113" cy="363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325589</xdr:colOff>
      <xdr:row>536</xdr:row>
      <xdr:rowOff>21979</xdr:rowOff>
    </xdr:from>
    <xdr:to>
      <xdr:col>11</xdr:col>
      <xdr:colOff>315515</xdr:colOff>
      <xdr:row>537</xdr:row>
      <xdr:rowOff>152948</xdr:rowOff>
    </xdr:to>
    <xdr:sp macro="" textlink="">
      <xdr:nvSpPr>
        <xdr:cNvPr id="102" name="Rectangle: Rounded Corners 101">
          <a:extLst>
            <a:ext uri="{FF2B5EF4-FFF2-40B4-BE49-F238E27FC236}">
              <a16:creationId xmlns:a16="http://schemas.microsoft.com/office/drawing/2014/main" id="{084F6553-7CCC-4841-A07C-7DB2A2B4CFF9}"/>
            </a:ext>
          </a:extLst>
        </xdr:cNvPr>
        <xdr:cNvSpPr/>
      </xdr:nvSpPr>
      <xdr:spPr>
        <a:xfrm>
          <a:off x="325589" y="26310979"/>
          <a:ext cx="6102491" cy="304904"/>
        </a:xfrm>
        <a:prstGeom prst="roundRect">
          <a:avLst/>
        </a:prstGeom>
        <a:noFill/>
        <a:ln w="2857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249115</xdr:colOff>
      <xdr:row>531</xdr:row>
      <xdr:rowOff>175846</xdr:rowOff>
    </xdr:from>
    <xdr:to>
      <xdr:col>4</xdr:col>
      <xdr:colOff>395654</xdr:colOff>
      <xdr:row>531</xdr:row>
      <xdr:rowOff>175846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2867EF13-8F4B-4E86-811F-0BB4871118E9}"/>
            </a:ext>
          </a:extLst>
        </xdr:cNvPr>
        <xdr:cNvCxnSpPr/>
      </xdr:nvCxnSpPr>
      <xdr:spPr>
        <a:xfrm>
          <a:off x="1367267" y="25553759"/>
          <a:ext cx="1430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30088</xdr:colOff>
      <xdr:row>542</xdr:row>
      <xdr:rowOff>85396</xdr:rowOff>
    </xdr:from>
    <xdr:to>
      <xdr:col>3</xdr:col>
      <xdr:colOff>95779</xdr:colOff>
      <xdr:row>543</xdr:row>
      <xdr:rowOff>59122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D7755A09-9EE8-4DB6-B66B-5BFF64EBED24}"/>
            </a:ext>
          </a:extLst>
        </xdr:cNvPr>
        <xdr:cNvSpPr txBox="1"/>
      </xdr:nvSpPr>
      <xdr:spPr>
        <a:xfrm>
          <a:off x="1148240" y="27475983"/>
          <a:ext cx="736582" cy="155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>
              <a:latin typeface="Arial" panose="020B0604020202020204" pitchFamily="34" charset="0"/>
              <a:cs typeface="Arial" panose="020B0604020202020204" pitchFamily="34" charset="0"/>
            </a:rPr>
            <a:t>J-40542036-0</a:t>
          </a:r>
        </a:p>
      </xdr:txBody>
    </xdr:sp>
    <xdr:clientData/>
  </xdr:twoCellAnchor>
  <xdr:twoCellAnchor>
    <xdr:from>
      <xdr:col>5</xdr:col>
      <xdr:colOff>974405</xdr:colOff>
      <xdr:row>544</xdr:row>
      <xdr:rowOff>13784</xdr:rowOff>
    </xdr:from>
    <xdr:to>
      <xdr:col>9</xdr:col>
      <xdr:colOff>156610</xdr:colOff>
      <xdr:row>546</xdr:row>
      <xdr:rowOff>29308</xdr:rowOff>
    </xdr:to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C540842-457D-4E3A-9047-969CAB3509E0}"/>
            </a:ext>
          </a:extLst>
        </xdr:cNvPr>
        <xdr:cNvSpPr txBox="1"/>
      </xdr:nvSpPr>
      <xdr:spPr>
        <a:xfrm>
          <a:off x="4014122" y="27768806"/>
          <a:ext cx="1045792" cy="3799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FORMA LIBRE</a:t>
          </a:r>
        </a:p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N° de Control</a:t>
          </a:r>
        </a:p>
      </xdr:txBody>
    </xdr:sp>
    <xdr:clientData/>
  </xdr:twoCellAnchor>
  <xdr:twoCellAnchor>
    <xdr:from>
      <xdr:col>9</xdr:col>
      <xdr:colOff>158514</xdr:colOff>
      <xdr:row>544</xdr:row>
      <xdr:rowOff>13671</xdr:rowOff>
    </xdr:from>
    <xdr:to>
      <xdr:col>10</xdr:col>
      <xdr:colOff>249114</xdr:colOff>
      <xdr:row>545</xdr:row>
      <xdr:rowOff>157430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8B0F5795-C91F-4CE4-BB64-BBE946223242}"/>
            </a:ext>
          </a:extLst>
        </xdr:cNvPr>
        <xdr:cNvSpPr txBox="1"/>
      </xdr:nvSpPr>
      <xdr:spPr>
        <a:xfrm>
          <a:off x="5061818" y="27768693"/>
          <a:ext cx="529579" cy="325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Arial" panose="020B0604020202020204" pitchFamily="34" charset="0"/>
              <a:ea typeface="Roboto" panose="02000000000000000000" pitchFamily="2" charset="0"/>
              <a:cs typeface="Arial" panose="020B0604020202020204" pitchFamily="34" charset="0"/>
            </a:rPr>
            <a:t>00-</a:t>
          </a:r>
          <a:endParaRPr lang="en-US" sz="1600">
            <a:solidFill>
              <a:srgbClr val="FF0000"/>
            </a:solidFill>
            <a:latin typeface="Arial" panose="020B0604020202020204" pitchFamily="34" charset="0"/>
            <a:ea typeface="Roboto" panose="02000000000000000000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322385</xdr:colOff>
      <xdr:row>540</xdr:row>
      <xdr:rowOff>52711</xdr:rowOff>
    </xdr:from>
    <xdr:to>
      <xdr:col>12</xdr:col>
      <xdr:colOff>0</xdr:colOff>
      <xdr:row>542</xdr:row>
      <xdr:rowOff>80211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2EE19300-2DD6-489B-A917-872942B4B90B}"/>
            </a:ext>
          </a:extLst>
        </xdr:cNvPr>
        <xdr:cNvSpPr txBox="1"/>
      </xdr:nvSpPr>
      <xdr:spPr>
        <a:xfrm>
          <a:off x="910450" y="27078863"/>
          <a:ext cx="5790180" cy="39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CALLE AYACUCHO, CASA Nro 36, SECTOR CASCO CENTRAL. CABIMAS - EDO. ZULIA ZONA POSTAL 4013          </a:t>
          </a:r>
        </a:p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TELF.: (0264) 241.65.04 - E-MAIL: LLLIMPORTCA@GMAIL.COM</a:t>
          </a:r>
        </a:p>
      </xdr:txBody>
    </xdr:sp>
    <xdr:clientData/>
  </xdr:twoCellAnchor>
  <xdr:twoCellAnchor>
    <xdr:from>
      <xdr:col>2</xdr:col>
      <xdr:colOff>122464</xdr:colOff>
      <xdr:row>542</xdr:row>
      <xdr:rowOff>78241</xdr:rowOff>
    </xdr:from>
    <xdr:to>
      <xdr:col>11</xdr:col>
      <xdr:colOff>488156</xdr:colOff>
      <xdr:row>542</xdr:row>
      <xdr:rowOff>83343</xdr:rowOff>
    </xdr:to>
    <xdr:cxnSp macro="">
      <xdr:nvCxnSpPr>
        <xdr:cNvPr id="108" name="Straight Connector 107">
          <a:extLst>
            <a:ext uri="{FF2B5EF4-FFF2-40B4-BE49-F238E27FC236}">
              <a16:creationId xmlns:a16="http://schemas.microsoft.com/office/drawing/2014/main" id="{7FE42FBB-62A4-4FBE-8C96-7F63646ED460}"/>
            </a:ext>
          </a:extLst>
        </xdr:cNvPr>
        <xdr:cNvCxnSpPr/>
      </xdr:nvCxnSpPr>
      <xdr:spPr>
        <a:xfrm>
          <a:off x="1240616" y="27468828"/>
          <a:ext cx="5360105" cy="510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119503</xdr:colOff>
      <xdr:row>542</xdr:row>
      <xdr:rowOff>32085</xdr:rowOff>
    </xdr:from>
    <xdr:to>
      <xdr:col>11</xdr:col>
      <xdr:colOff>482203</xdr:colOff>
      <xdr:row>542</xdr:row>
      <xdr:rowOff>35718</xdr:rowOff>
    </xdr:to>
    <xdr:cxnSp macro="">
      <xdr:nvCxnSpPr>
        <xdr:cNvPr id="109" name="Straight Connector 108">
          <a:extLst>
            <a:ext uri="{FF2B5EF4-FFF2-40B4-BE49-F238E27FC236}">
              <a16:creationId xmlns:a16="http://schemas.microsoft.com/office/drawing/2014/main" id="{C764C54D-77BA-40EC-BD6D-C3141F1E4B73}"/>
            </a:ext>
          </a:extLst>
        </xdr:cNvPr>
        <xdr:cNvCxnSpPr/>
      </xdr:nvCxnSpPr>
      <xdr:spPr>
        <a:xfrm>
          <a:off x="1237655" y="27422672"/>
          <a:ext cx="5357113" cy="363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325589</xdr:colOff>
      <xdr:row>585</xdr:row>
      <xdr:rowOff>21979</xdr:rowOff>
    </xdr:from>
    <xdr:to>
      <xdr:col>11</xdr:col>
      <xdr:colOff>315515</xdr:colOff>
      <xdr:row>586</xdr:row>
      <xdr:rowOff>152948</xdr:rowOff>
    </xdr:to>
    <xdr:sp macro="" textlink="">
      <xdr:nvSpPr>
        <xdr:cNvPr id="110" name="Rectangle: Rounded Corners 109">
          <a:extLst>
            <a:ext uri="{FF2B5EF4-FFF2-40B4-BE49-F238E27FC236}">
              <a16:creationId xmlns:a16="http://schemas.microsoft.com/office/drawing/2014/main" id="{88C3EDCC-FCC4-42AE-879F-5D187D15E4BD}"/>
            </a:ext>
          </a:extLst>
        </xdr:cNvPr>
        <xdr:cNvSpPr/>
      </xdr:nvSpPr>
      <xdr:spPr>
        <a:xfrm>
          <a:off x="325589" y="35256196"/>
          <a:ext cx="6102491" cy="304904"/>
        </a:xfrm>
        <a:prstGeom prst="roundRect">
          <a:avLst/>
        </a:prstGeom>
        <a:noFill/>
        <a:ln w="2857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249115</xdr:colOff>
      <xdr:row>580</xdr:row>
      <xdr:rowOff>175846</xdr:rowOff>
    </xdr:from>
    <xdr:to>
      <xdr:col>4</xdr:col>
      <xdr:colOff>395654</xdr:colOff>
      <xdr:row>580</xdr:row>
      <xdr:rowOff>175846</xdr:rowOff>
    </xdr:to>
    <xdr:cxnSp macro="">
      <xdr:nvCxnSpPr>
        <xdr:cNvPr id="111" name="Straight Connector 110">
          <a:extLst>
            <a:ext uri="{FF2B5EF4-FFF2-40B4-BE49-F238E27FC236}">
              <a16:creationId xmlns:a16="http://schemas.microsoft.com/office/drawing/2014/main" id="{22FE4651-F929-47E8-8C67-36D4F3BC390E}"/>
            </a:ext>
          </a:extLst>
        </xdr:cNvPr>
        <xdr:cNvCxnSpPr/>
      </xdr:nvCxnSpPr>
      <xdr:spPr>
        <a:xfrm>
          <a:off x="1367267" y="34498976"/>
          <a:ext cx="1430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30088</xdr:colOff>
      <xdr:row>591</xdr:row>
      <xdr:rowOff>85396</xdr:rowOff>
    </xdr:from>
    <xdr:to>
      <xdr:col>3</xdr:col>
      <xdr:colOff>95779</xdr:colOff>
      <xdr:row>592</xdr:row>
      <xdr:rowOff>59122</xdr:rowOff>
    </xdr:to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8C34B149-6840-4139-B53E-4E22EC7F6CE6}"/>
            </a:ext>
          </a:extLst>
        </xdr:cNvPr>
        <xdr:cNvSpPr txBox="1"/>
      </xdr:nvSpPr>
      <xdr:spPr>
        <a:xfrm>
          <a:off x="1148240" y="36421200"/>
          <a:ext cx="736582" cy="1559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>
              <a:latin typeface="Arial" panose="020B0604020202020204" pitchFamily="34" charset="0"/>
              <a:cs typeface="Arial" panose="020B0604020202020204" pitchFamily="34" charset="0"/>
            </a:rPr>
            <a:t>J-40542036-0</a:t>
          </a:r>
        </a:p>
      </xdr:txBody>
    </xdr:sp>
    <xdr:clientData/>
  </xdr:twoCellAnchor>
  <xdr:twoCellAnchor>
    <xdr:from>
      <xdr:col>5</xdr:col>
      <xdr:colOff>974405</xdr:colOff>
      <xdr:row>593</xdr:row>
      <xdr:rowOff>13784</xdr:rowOff>
    </xdr:from>
    <xdr:to>
      <xdr:col>9</xdr:col>
      <xdr:colOff>156610</xdr:colOff>
      <xdr:row>595</xdr:row>
      <xdr:rowOff>29308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7E05F569-AA2D-4287-8051-6E844BD462BB}"/>
            </a:ext>
          </a:extLst>
        </xdr:cNvPr>
        <xdr:cNvSpPr txBox="1"/>
      </xdr:nvSpPr>
      <xdr:spPr>
        <a:xfrm>
          <a:off x="4014122" y="36714023"/>
          <a:ext cx="1045792" cy="3799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FORMA LIBRE</a:t>
          </a:r>
        </a:p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N° de Control</a:t>
          </a:r>
        </a:p>
      </xdr:txBody>
    </xdr:sp>
    <xdr:clientData/>
  </xdr:twoCellAnchor>
  <xdr:twoCellAnchor>
    <xdr:from>
      <xdr:col>9</xdr:col>
      <xdr:colOff>158514</xdr:colOff>
      <xdr:row>593</xdr:row>
      <xdr:rowOff>13671</xdr:rowOff>
    </xdr:from>
    <xdr:to>
      <xdr:col>10</xdr:col>
      <xdr:colOff>249114</xdr:colOff>
      <xdr:row>594</xdr:row>
      <xdr:rowOff>157430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FC916F08-D57E-49FB-8161-A8A84999DA34}"/>
            </a:ext>
          </a:extLst>
        </xdr:cNvPr>
        <xdr:cNvSpPr txBox="1"/>
      </xdr:nvSpPr>
      <xdr:spPr>
        <a:xfrm>
          <a:off x="5061818" y="36713910"/>
          <a:ext cx="529579" cy="325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Arial" panose="020B0604020202020204" pitchFamily="34" charset="0"/>
              <a:ea typeface="Roboto" panose="02000000000000000000" pitchFamily="2" charset="0"/>
              <a:cs typeface="Arial" panose="020B0604020202020204" pitchFamily="34" charset="0"/>
            </a:rPr>
            <a:t>00-</a:t>
          </a:r>
          <a:endParaRPr lang="en-US" sz="1600">
            <a:solidFill>
              <a:srgbClr val="FF0000"/>
            </a:solidFill>
            <a:latin typeface="Arial" panose="020B0604020202020204" pitchFamily="34" charset="0"/>
            <a:ea typeface="Roboto" panose="02000000000000000000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322385</xdr:colOff>
      <xdr:row>589</xdr:row>
      <xdr:rowOff>52711</xdr:rowOff>
    </xdr:from>
    <xdr:to>
      <xdr:col>12</xdr:col>
      <xdr:colOff>0</xdr:colOff>
      <xdr:row>591</xdr:row>
      <xdr:rowOff>80211</xdr:rowOff>
    </xdr:to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9883225D-A78A-4AD6-A254-73AD96F853DD}"/>
            </a:ext>
          </a:extLst>
        </xdr:cNvPr>
        <xdr:cNvSpPr txBox="1"/>
      </xdr:nvSpPr>
      <xdr:spPr>
        <a:xfrm>
          <a:off x="910450" y="36024081"/>
          <a:ext cx="5790180" cy="3919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CALLE AYACUCHO, CASA Nro 36, SECTOR CASCO CENTRAL. CABIMAS - EDO. ZULIA ZONA POSTAL 4013          </a:t>
          </a:r>
        </a:p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TELF.: (0264) 241.65.04 - E-MAIL: LLLIMPORTCA@GMAIL.COM</a:t>
          </a:r>
        </a:p>
      </xdr:txBody>
    </xdr:sp>
    <xdr:clientData/>
  </xdr:twoCellAnchor>
  <xdr:twoCellAnchor>
    <xdr:from>
      <xdr:col>2</xdr:col>
      <xdr:colOff>122464</xdr:colOff>
      <xdr:row>591</xdr:row>
      <xdr:rowOff>78241</xdr:rowOff>
    </xdr:from>
    <xdr:to>
      <xdr:col>11</xdr:col>
      <xdr:colOff>488156</xdr:colOff>
      <xdr:row>591</xdr:row>
      <xdr:rowOff>83343</xdr:rowOff>
    </xdr:to>
    <xdr:cxnSp macro="">
      <xdr:nvCxnSpPr>
        <xdr:cNvPr id="118" name="Straight Connector 117">
          <a:extLst>
            <a:ext uri="{FF2B5EF4-FFF2-40B4-BE49-F238E27FC236}">
              <a16:creationId xmlns:a16="http://schemas.microsoft.com/office/drawing/2014/main" id="{C043C059-C849-49F8-B9AB-7A255C061217}"/>
            </a:ext>
          </a:extLst>
        </xdr:cNvPr>
        <xdr:cNvCxnSpPr/>
      </xdr:nvCxnSpPr>
      <xdr:spPr>
        <a:xfrm>
          <a:off x="1240616" y="36414045"/>
          <a:ext cx="5360105" cy="510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119503</xdr:colOff>
      <xdr:row>591</xdr:row>
      <xdr:rowOff>32085</xdr:rowOff>
    </xdr:from>
    <xdr:to>
      <xdr:col>11</xdr:col>
      <xdr:colOff>482203</xdr:colOff>
      <xdr:row>591</xdr:row>
      <xdr:rowOff>35718</xdr:rowOff>
    </xdr:to>
    <xdr:cxnSp macro="">
      <xdr:nvCxnSpPr>
        <xdr:cNvPr id="119" name="Straight Connector 118">
          <a:extLst>
            <a:ext uri="{FF2B5EF4-FFF2-40B4-BE49-F238E27FC236}">
              <a16:creationId xmlns:a16="http://schemas.microsoft.com/office/drawing/2014/main" id="{1601D968-2BB6-4BD7-85E1-E5D40908BEB2}"/>
            </a:ext>
          </a:extLst>
        </xdr:cNvPr>
        <xdr:cNvCxnSpPr/>
      </xdr:nvCxnSpPr>
      <xdr:spPr>
        <a:xfrm>
          <a:off x="1237655" y="36367889"/>
          <a:ext cx="5357113" cy="363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325589</xdr:colOff>
      <xdr:row>634</xdr:row>
      <xdr:rowOff>21979</xdr:rowOff>
    </xdr:from>
    <xdr:to>
      <xdr:col>11</xdr:col>
      <xdr:colOff>315515</xdr:colOff>
      <xdr:row>635</xdr:row>
      <xdr:rowOff>152948</xdr:rowOff>
    </xdr:to>
    <xdr:sp macro="" textlink="">
      <xdr:nvSpPr>
        <xdr:cNvPr id="120" name="Rectangle: Rounded Corners 119">
          <a:extLst>
            <a:ext uri="{FF2B5EF4-FFF2-40B4-BE49-F238E27FC236}">
              <a16:creationId xmlns:a16="http://schemas.microsoft.com/office/drawing/2014/main" id="{C7D7A9AA-E080-449A-9781-589EF60A02FB}"/>
            </a:ext>
          </a:extLst>
        </xdr:cNvPr>
        <xdr:cNvSpPr/>
      </xdr:nvSpPr>
      <xdr:spPr>
        <a:xfrm>
          <a:off x="325589" y="44201414"/>
          <a:ext cx="6102491" cy="304904"/>
        </a:xfrm>
        <a:prstGeom prst="roundRect">
          <a:avLst/>
        </a:prstGeom>
        <a:noFill/>
        <a:ln w="2857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249115</xdr:colOff>
      <xdr:row>629</xdr:row>
      <xdr:rowOff>175846</xdr:rowOff>
    </xdr:from>
    <xdr:to>
      <xdr:col>4</xdr:col>
      <xdr:colOff>395654</xdr:colOff>
      <xdr:row>629</xdr:row>
      <xdr:rowOff>175846</xdr:rowOff>
    </xdr:to>
    <xdr:cxnSp macro="">
      <xdr:nvCxnSpPr>
        <xdr:cNvPr id="121" name="Straight Connector 120">
          <a:extLst>
            <a:ext uri="{FF2B5EF4-FFF2-40B4-BE49-F238E27FC236}">
              <a16:creationId xmlns:a16="http://schemas.microsoft.com/office/drawing/2014/main" id="{15413B4B-C855-4E6C-8B01-2AAD0BC0A6BB}"/>
            </a:ext>
          </a:extLst>
        </xdr:cNvPr>
        <xdr:cNvCxnSpPr/>
      </xdr:nvCxnSpPr>
      <xdr:spPr>
        <a:xfrm>
          <a:off x="1367267" y="43444194"/>
          <a:ext cx="1430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30088</xdr:colOff>
      <xdr:row>640</xdr:row>
      <xdr:rowOff>85396</xdr:rowOff>
    </xdr:from>
    <xdr:to>
      <xdr:col>3</xdr:col>
      <xdr:colOff>95779</xdr:colOff>
      <xdr:row>641</xdr:row>
      <xdr:rowOff>59122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F4384A97-E21A-470D-8D12-159C2B3F6A45}"/>
            </a:ext>
          </a:extLst>
        </xdr:cNvPr>
        <xdr:cNvSpPr txBox="1"/>
      </xdr:nvSpPr>
      <xdr:spPr>
        <a:xfrm>
          <a:off x="1148240" y="45366418"/>
          <a:ext cx="736582" cy="155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>
              <a:latin typeface="Arial" panose="020B0604020202020204" pitchFamily="34" charset="0"/>
              <a:cs typeface="Arial" panose="020B0604020202020204" pitchFamily="34" charset="0"/>
            </a:rPr>
            <a:t>J-40542036-0</a:t>
          </a:r>
        </a:p>
      </xdr:txBody>
    </xdr:sp>
    <xdr:clientData/>
  </xdr:twoCellAnchor>
  <xdr:twoCellAnchor>
    <xdr:from>
      <xdr:col>5</xdr:col>
      <xdr:colOff>974405</xdr:colOff>
      <xdr:row>642</xdr:row>
      <xdr:rowOff>13784</xdr:rowOff>
    </xdr:from>
    <xdr:to>
      <xdr:col>9</xdr:col>
      <xdr:colOff>156610</xdr:colOff>
      <xdr:row>644</xdr:row>
      <xdr:rowOff>29308</xdr:rowOff>
    </xdr:to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21EA1A5B-9683-4B66-8B28-E990E85ECC9E}"/>
            </a:ext>
          </a:extLst>
        </xdr:cNvPr>
        <xdr:cNvSpPr txBox="1"/>
      </xdr:nvSpPr>
      <xdr:spPr>
        <a:xfrm>
          <a:off x="4014122" y="45659241"/>
          <a:ext cx="1045792" cy="37995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FORMA LIBRE</a:t>
          </a:r>
        </a:p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N° de Control</a:t>
          </a:r>
        </a:p>
      </xdr:txBody>
    </xdr:sp>
    <xdr:clientData/>
  </xdr:twoCellAnchor>
  <xdr:twoCellAnchor>
    <xdr:from>
      <xdr:col>9</xdr:col>
      <xdr:colOff>158514</xdr:colOff>
      <xdr:row>642</xdr:row>
      <xdr:rowOff>13671</xdr:rowOff>
    </xdr:from>
    <xdr:to>
      <xdr:col>10</xdr:col>
      <xdr:colOff>249114</xdr:colOff>
      <xdr:row>643</xdr:row>
      <xdr:rowOff>157430</xdr:rowOff>
    </xdr:to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F2C9E5C8-0CF2-4D90-A80F-9359EFC96851}"/>
            </a:ext>
          </a:extLst>
        </xdr:cNvPr>
        <xdr:cNvSpPr txBox="1"/>
      </xdr:nvSpPr>
      <xdr:spPr>
        <a:xfrm>
          <a:off x="5061818" y="45659128"/>
          <a:ext cx="529579" cy="325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Arial" panose="020B0604020202020204" pitchFamily="34" charset="0"/>
              <a:ea typeface="Roboto" panose="02000000000000000000" pitchFamily="2" charset="0"/>
              <a:cs typeface="Arial" panose="020B0604020202020204" pitchFamily="34" charset="0"/>
            </a:rPr>
            <a:t>00-</a:t>
          </a:r>
          <a:endParaRPr lang="en-US" sz="1600">
            <a:solidFill>
              <a:srgbClr val="FF0000"/>
            </a:solidFill>
            <a:latin typeface="Arial" panose="020B0604020202020204" pitchFamily="34" charset="0"/>
            <a:ea typeface="Roboto" panose="02000000000000000000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322385</xdr:colOff>
      <xdr:row>638</xdr:row>
      <xdr:rowOff>52711</xdr:rowOff>
    </xdr:from>
    <xdr:to>
      <xdr:col>12</xdr:col>
      <xdr:colOff>0</xdr:colOff>
      <xdr:row>640</xdr:row>
      <xdr:rowOff>80211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9C0E8446-A07B-4391-AEA7-3A27719FC40B}"/>
            </a:ext>
          </a:extLst>
        </xdr:cNvPr>
        <xdr:cNvSpPr txBox="1"/>
      </xdr:nvSpPr>
      <xdr:spPr>
        <a:xfrm>
          <a:off x="910450" y="44969298"/>
          <a:ext cx="5790180" cy="39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CALLE AYACUCHO, CASA Nro 36, SECTOR CASCO CENTRAL. CABIMAS - EDO. ZULIA ZONA POSTAL 4013          </a:t>
          </a:r>
        </a:p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TELF.: (0264) 241.65.04 - E-MAIL: LLLIMPORTCA@GMAIL.COM</a:t>
          </a:r>
        </a:p>
      </xdr:txBody>
    </xdr:sp>
    <xdr:clientData/>
  </xdr:twoCellAnchor>
  <xdr:twoCellAnchor>
    <xdr:from>
      <xdr:col>2</xdr:col>
      <xdr:colOff>122464</xdr:colOff>
      <xdr:row>640</xdr:row>
      <xdr:rowOff>78241</xdr:rowOff>
    </xdr:from>
    <xdr:to>
      <xdr:col>11</xdr:col>
      <xdr:colOff>488156</xdr:colOff>
      <xdr:row>640</xdr:row>
      <xdr:rowOff>83343</xdr:rowOff>
    </xdr:to>
    <xdr:cxnSp macro="">
      <xdr:nvCxnSpPr>
        <xdr:cNvPr id="126" name="Straight Connector 125">
          <a:extLst>
            <a:ext uri="{FF2B5EF4-FFF2-40B4-BE49-F238E27FC236}">
              <a16:creationId xmlns:a16="http://schemas.microsoft.com/office/drawing/2014/main" id="{0BC70D17-A72D-4DA6-9EA8-92499252D427}"/>
            </a:ext>
          </a:extLst>
        </xdr:cNvPr>
        <xdr:cNvCxnSpPr/>
      </xdr:nvCxnSpPr>
      <xdr:spPr>
        <a:xfrm>
          <a:off x="1240616" y="45359263"/>
          <a:ext cx="5360105" cy="510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119503</xdr:colOff>
      <xdr:row>640</xdr:row>
      <xdr:rowOff>32085</xdr:rowOff>
    </xdr:from>
    <xdr:to>
      <xdr:col>11</xdr:col>
      <xdr:colOff>482203</xdr:colOff>
      <xdr:row>640</xdr:row>
      <xdr:rowOff>35718</xdr:rowOff>
    </xdr:to>
    <xdr:cxnSp macro="">
      <xdr:nvCxnSpPr>
        <xdr:cNvPr id="127" name="Straight Connector 126">
          <a:extLst>
            <a:ext uri="{FF2B5EF4-FFF2-40B4-BE49-F238E27FC236}">
              <a16:creationId xmlns:a16="http://schemas.microsoft.com/office/drawing/2014/main" id="{0D980775-DEBC-4544-A8CF-2EB874E6D677}"/>
            </a:ext>
          </a:extLst>
        </xdr:cNvPr>
        <xdr:cNvCxnSpPr/>
      </xdr:nvCxnSpPr>
      <xdr:spPr>
        <a:xfrm>
          <a:off x="1237655" y="45313107"/>
          <a:ext cx="5357113" cy="363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325589</xdr:colOff>
      <xdr:row>683</xdr:row>
      <xdr:rowOff>21979</xdr:rowOff>
    </xdr:from>
    <xdr:to>
      <xdr:col>11</xdr:col>
      <xdr:colOff>315515</xdr:colOff>
      <xdr:row>684</xdr:row>
      <xdr:rowOff>152948</xdr:rowOff>
    </xdr:to>
    <xdr:sp macro="" textlink="">
      <xdr:nvSpPr>
        <xdr:cNvPr id="128" name="Rectangle: Rounded Corners 127">
          <a:extLst>
            <a:ext uri="{FF2B5EF4-FFF2-40B4-BE49-F238E27FC236}">
              <a16:creationId xmlns:a16="http://schemas.microsoft.com/office/drawing/2014/main" id="{6BF95CD2-A692-413F-9003-AD353192507F}"/>
            </a:ext>
          </a:extLst>
        </xdr:cNvPr>
        <xdr:cNvSpPr/>
      </xdr:nvSpPr>
      <xdr:spPr>
        <a:xfrm>
          <a:off x="325589" y="53146631"/>
          <a:ext cx="6102491" cy="304904"/>
        </a:xfrm>
        <a:prstGeom prst="roundRect">
          <a:avLst/>
        </a:prstGeom>
        <a:noFill/>
        <a:ln w="2857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249115</xdr:colOff>
      <xdr:row>678</xdr:row>
      <xdr:rowOff>175846</xdr:rowOff>
    </xdr:from>
    <xdr:to>
      <xdr:col>4</xdr:col>
      <xdr:colOff>395654</xdr:colOff>
      <xdr:row>678</xdr:row>
      <xdr:rowOff>175846</xdr:rowOff>
    </xdr:to>
    <xdr:cxnSp macro="">
      <xdr:nvCxnSpPr>
        <xdr:cNvPr id="129" name="Straight Connector 128">
          <a:extLst>
            <a:ext uri="{FF2B5EF4-FFF2-40B4-BE49-F238E27FC236}">
              <a16:creationId xmlns:a16="http://schemas.microsoft.com/office/drawing/2014/main" id="{4BE267A9-C5B9-4E1F-8EC0-4CFEFB59099A}"/>
            </a:ext>
          </a:extLst>
        </xdr:cNvPr>
        <xdr:cNvCxnSpPr/>
      </xdr:nvCxnSpPr>
      <xdr:spPr>
        <a:xfrm>
          <a:off x="1367267" y="52389411"/>
          <a:ext cx="1430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30088</xdr:colOff>
      <xdr:row>689</xdr:row>
      <xdr:rowOff>85396</xdr:rowOff>
    </xdr:from>
    <xdr:to>
      <xdr:col>3</xdr:col>
      <xdr:colOff>95779</xdr:colOff>
      <xdr:row>690</xdr:row>
      <xdr:rowOff>59122</xdr:rowOff>
    </xdr:to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505FE118-2816-4153-96D1-F15FE6C3BF93}"/>
            </a:ext>
          </a:extLst>
        </xdr:cNvPr>
        <xdr:cNvSpPr txBox="1"/>
      </xdr:nvSpPr>
      <xdr:spPr>
        <a:xfrm>
          <a:off x="1148240" y="54311635"/>
          <a:ext cx="736582" cy="1559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>
              <a:latin typeface="Arial" panose="020B0604020202020204" pitchFamily="34" charset="0"/>
              <a:cs typeface="Arial" panose="020B0604020202020204" pitchFamily="34" charset="0"/>
            </a:rPr>
            <a:t>J-40542036-0</a:t>
          </a:r>
        </a:p>
      </xdr:txBody>
    </xdr:sp>
    <xdr:clientData/>
  </xdr:twoCellAnchor>
  <xdr:twoCellAnchor>
    <xdr:from>
      <xdr:col>5</xdr:col>
      <xdr:colOff>974405</xdr:colOff>
      <xdr:row>691</xdr:row>
      <xdr:rowOff>13784</xdr:rowOff>
    </xdr:from>
    <xdr:to>
      <xdr:col>9</xdr:col>
      <xdr:colOff>156610</xdr:colOff>
      <xdr:row>693</xdr:row>
      <xdr:rowOff>29308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255D0089-10B7-4495-A918-989194C5C3C9}"/>
            </a:ext>
          </a:extLst>
        </xdr:cNvPr>
        <xdr:cNvSpPr txBox="1"/>
      </xdr:nvSpPr>
      <xdr:spPr>
        <a:xfrm>
          <a:off x="4014122" y="54604458"/>
          <a:ext cx="1045792" cy="3799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FORMA LIBRE</a:t>
          </a:r>
        </a:p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N° de Control</a:t>
          </a:r>
        </a:p>
      </xdr:txBody>
    </xdr:sp>
    <xdr:clientData/>
  </xdr:twoCellAnchor>
  <xdr:twoCellAnchor>
    <xdr:from>
      <xdr:col>9</xdr:col>
      <xdr:colOff>158514</xdr:colOff>
      <xdr:row>691</xdr:row>
      <xdr:rowOff>13671</xdr:rowOff>
    </xdr:from>
    <xdr:to>
      <xdr:col>10</xdr:col>
      <xdr:colOff>249114</xdr:colOff>
      <xdr:row>692</xdr:row>
      <xdr:rowOff>157430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9BC3486F-A7C5-4CF0-ACA1-FFD63554C226}"/>
            </a:ext>
          </a:extLst>
        </xdr:cNvPr>
        <xdr:cNvSpPr txBox="1"/>
      </xdr:nvSpPr>
      <xdr:spPr>
        <a:xfrm>
          <a:off x="5061818" y="54604345"/>
          <a:ext cx="529579" cy="325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Arial" panose="020B0604020202020204" pitchFamily="34" charset="0"/>
              <a:ea typeface="Roboto" panose="02000000000000000000" pitchFamily="2" charset="0"/>
              <a:cs typeface="Arial" panose="020B0604020202020204" pitchFamily="34" charset="0"/>
            </a:rPr>
            <a:t>00-</a:t>
          </a:r>
          <a:endParaRPr lang="en-US" sz="1600">
            <a:solidFill>
              <a:srgbClr val="FF0000"/>
            </a:solidFill>
            <a:latin typeface="Arial" panose="020B0604020202020204" pitchFamily="34" charset="0"/>
            <a:ea typeface="Roboto" panose="02000000000000000000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322385</xdr:colOff>
      <xdr:row>687</xdr:row>
      <xdr:rowOff>52711</xdr:rowOff>
    </xdr:from>
    <xdr:to>
      <xdr:col>12</xdr:col>
      <xdr:colOff>0</xdr:colOff>
      <xdr:row>689</xdr:row>
      <xdr:rowOff>80211</xdr:rowOff>
    </xdr:to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37D98714-DCF1-45A0-A6E4-BECA079788BB}"/>
            </a:ext>
          </a:extLst>
        </xdr:cNvPr>
        <xdr:cNvSpPr txBox="1"/>
      </xdr:nvSpPr>
      <xdr:spPr>
        <a:xfrm>
          <a:off x="910450" y="53914515"/>
          <a:ext cx="5790180" cy="39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CALLE AYACUCHO, CASA Nro 36, SECTOR CASCO CENTRAL. CABIMAS - EDO. ZULIA ZONA POSTAL 4013          </a:t>
          </a:r>
        </a:p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TELF.: (0264) 241.65.04 - E-MAIL: LLLIMPORTCA@GMAIL.COM</a:t>
          </a:r>
        </a:p>
      </xdr:txBody>
    </xdr:sp>
    <xdr:clientData/>
  </xdr:twoCellAnchor>
  <xdr:twoCellAnchor>
    <xdr:from>
      <xdr:col>2</xdr:col>
      <xdr:colOff>122464</xdr:colOff>
      <xdr:row>689</xdr:row>
      <xdr:rowOff>78241</xdr:rowOff>
    </xdr:from>
    <xdr:to>
      <xdr:col>11</xdr:col>
      <xdr:colOff>488156</xdr:colOff>
      <xdr:row>689</xdr:row>
      <xdr:rowOff>83343</xdr:rowOff>
    </xdr:to>
    <xdr:cxnSp macro="">
      <xdr:nvCxnSpPr>
        <xdr:cNvPr id="134" name="Straight Connector 133">
          <a:extLst>
            <a:ext uri="{FF2B5EF4-FFF2-40B4-BE49-F238E27FC236}">
              <a16:creationId xmlns:a16="http://schemas.microsoft.com/office/drawing/2014/main" id="{64081B47-63C3-4D32-8256-5D3A03DF5E20}"/>
            </a:ext>
          </a:extLst>
        </xdr:cNvPr>
        <xdr:cNvCxnSpPr/>
      </xdr:nvCxnSpPr>
      <xdr:spPr>
        <a:xfrm>
          <a:off x="1240616" y="54304480"/>
          <a:ext cx="5360105" cy="510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119503</xdr:colOff>
      <xdr:row>689</xdr:row>
      <xdr:rowOff>32085</xdr:rowOff>
    </xdr:from>
    <xdr:to>
      <xdr:col>11</xdr:col>
      <xdr:colOff>482203</xdr:colOff>
      <xdr:row>689</xdr:row>
      <xdr:rowOff>35718</xdr:rowOff>
    </xdr:to>
    <xdr:cxnSp macro="">
      <xdr:nvCxnSpPr>
        <xdr:cNvPr id="135" name="Straight Connector 134">
          <a:extLst>
            <a:ext uri="{FF2B5EF4-FFF2-40B4-BE49-F238E27FC236}">
              <a16:creationId xmlns:a16="http://schemas.microsoft.com/office/drawing/2014/main" id="{57B09440-68DC-44E0-A030-703CF5ADBBC9}"/>
            </a:ext>
          </a:extLst>
        </xdr:cNvPr>
        <xdr:cNvCxnSpPr/>
      </xdr:nvCxnSpPr>
      <xdr:spPr>
        <a:xfrm>
          <a:off x="1237655" y="54258324"/>
          <a:ext cx="5357113" cy="363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325589</xdr:colOff>
      <xdr:row>732</xdr:row>
      <xdr:rowOff>21979</xdr:rowOff>
    </xdr:from>
    <xdr:to>
      <xdr:col>11</xdr:col>
      <xdr:colOff>315515</xdr:colOff>
      <xdr:row>733</xdr:row>
      <xdr:rowOff>152948</xdr:rowOff>
    </xdr:to>
    <xdr:sp macro="" textlink="">
      <xdr:nvSpPr>
        <xdr:cNvPr id="136" name="Rectangle: Rounded Corners 135">
          <a:extLst>
            <a:ext uri="{FF2B5EF4-FFF2-40B4-BE49-F238E27FC236}">
              <a16:creationId xmlns:a16="http://schemas.microsoft.com/office/drawing/2014/main" id="{13482C3C-94D0-4C19-9C83-2F5110F1A7CB}"/>
            </a:ext>
          </a:extLst>
        </xdr:cNvPr>
        <xdr:cNvSpPr/>
      </xdr:nvSpPr>
      <xdr:spPr>
        <a:xfrm>
          <a:off x="325589" y="62091849"/>
          <a:ext cx="6102491" cy="304903"/>
        </a:xfrm>
        <a:prstGeom prst="roundRect">
          <a:avLst/>
        </a:prstGeom>
        <a:noFill/>
        <a:ln w="2857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249115</xdr:colOff>
      <xdr:row>727</xdr:row>
      <xdr:rowOff>175846</xdr:rowOff>
    </xdr:from>
    <xdr:to>
      <xdr:col>4</xdr:col>
      <xdr:colOff>395654</xdr:colOff>
      <xdr:row>727</xdr:row>
      <xdr:rowOff>175846</xdr:rowOff>
    </xdr:to>
    <xdr:cxnSp macro="">
      <xdr:nvCxnSpPr>
        <xdr:cNvPr id="137" name="Straight Connector 136">
          <a:extLst>
            <a:ext uri="{FF2B5EF4-FFF2-40B4-BE49-F238E27FC236}">
              <a16:creationId xmlns:a16="http://schemas.microsoft.com/office/drawing/2014/main" id="{09C05C05-90EB-4BE7-BA77-C025556A95DA}"/>
            </a:ext>
          </a:extLst>
        </xdr:cNvPr>
        <xdr:cNvCxnSpPr/>
      </xdr:nvCxnSpPr>
      <xdr:spPr>
        <a:xfrm>
          <a:off x="1367267" y="61334629"/>
          <a:ext cx="1430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30088</xdr:colOff>
      <xdr:row>738</xdr:row>
      <xdr:rowOff>85396</xdr:rowOff>
    </xdr:from>
    <xdr:to>
      <xdr:col>3</xdr:col>
      <xdr:colOff>95779</xdr:colOff>
      <xdr:row>739</xdr:row>
      <xdr:rowOff>59122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64886845-259F-426E-A2E5-4DE2636B4E04}"/>
            </a:ext>
          </a:extLst>
        </xdr:cNvPr>
        <xdr:cNvSpPr txBox="1"/>
      </xdr:nvSpPr>
      <xdr:spPr>
        <a:xfrm>
          <a:off x="1148240" y="63256853"/>
          <a:ext cx="736582" cy="155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>
              <a:latin typeface="Arial" panose="020B0604020202020204" pitchFamily="34" charset="0"/>
              <a:cs typeface="Arial" panose="020B0604020202020204" pitchFamily="34" charset="0"/>
            </a:rPr>
            <a:t>J-40542036-0</a:t>
          </a:r>
        </a:p>
      </xdr:txBody>
    </xdr:sp>
    <xdr:clientData/>
  </xdr:twoCellAnchor>
  <xdr:twoCellAnchor>
    <xdr:from>
      <xdr:col>5</xdr:col>
      <xdr:colOff>974405</xdr:colOff>
      <xdr:row>740</xdr:row>
      <xdr:rowOff>13784</xdr:rowOff>
    </xdr:from>
    <xdr:to>
      <xdr:col>9</xdr:col>
      <xdr:colOff>156610</xdr:colOff>
      <xdr:row>742</xdr:row>
      <xdr:rowOff>29308</xdr:rowOff>
    </xdr:to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EF0CD0A0-ACFA-4CCB-B3BA-D7B111BCC780}"/>
            </a:ext>
          </a:extLst>
        </xdr:cNvPr>
        <xdr:cNvSpPr txBox="1"/>
      </xdr:nvSpPr>
      <xdr:spPr>
        <a:xfrm>
          <a:off x="4014122" y="63549675"/>
          <a:ext cx="1045792" cy="3799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FORMA LIBRE</a:t>
          </a:r>
        </a:p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N° de Control</a:t>
          </a:r>
        </a:p>
      </xdr:txBody>
    </xdr:sp>
    <xdr:clientData/>
  </xdr:twoCellAnchor>
  <xdr:twoCellAnchor>
    <xdr:from>
      <xdr:col>9</xdr:col>
      <xdr:colOff>158514</xdr:colOff>
      <xdr:row>740</xdr:row>
      <xdr:rowOff>13671</xdr:rowOff>
    </xdr:from>
    <xdr:to>
      <xdr:col>10</xdr:col>
      <xdr:colOff>249114</xdr:colOff>
      <xdr:row>741</xdr:row>
      <xdr:rowOff>157430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1C73546E-99B4-4B10-810A-6606D2AD5C6F}"/>
            </a:ext>
          </a:extLst>
        </xdr:cNvPr>
        <xdr:cNvSpPr txBox="1"/>
      </xdr:nvSpPr>
      <xdr:spPr>
        <a:xfrm>
          <a:off x="5061818" y="63549562"/>
          <a:ext cx="529579" cy="325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Arial" panose="020B0604020202020204" pitchFamily="34" charset="0"/>
              <a:ea typeface="Roboto" panose="02000000000000000000" pitchFamily="2" charset="0"/>
              <a:cs typeface="Arial" panose="020B0604020202020204" pitchFamily="34" charset="0"/>
            </a:rPr>
            <a:t>00-</a:t>
          </a:r>
          <a:endParaRPr lang="en-US" sz="1600">
            <a:solidFill>
              <a:srgbClr val="FF0000"/>
            </a:solidFill>
            <a:latin typeface="Arial" panose="020B0604020202020204" pitchFamily="34" charset="0"/>
            <a:ea typeface="Roboto" panose="02000000000000000000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322385</xdr:colOff>
      <xdr:row>736</xdr:row>
      <xdr:rowOff>52711</xdr:rowOff>
    </xdr:from>
    <xdr:to>
      <xdr:col>12</xdr:col>
      <xdr:colOff>0</xdr:colOff>
      <xdr:row>738</xdr:row>
      <xdr:rowOff>80211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5C073CC5-E584-4C78-A6EC-CEBE2C91FEC1}"/>
            </a:ext>
          </a:extLst>
        </xdr:cNvPr>
        <xdr:cNvSpPr txBox="1"/>
      </xdr:nvSpPr>
      <xdr:spPr>
        <a:xfrm>
          <a:off x="910450" y="62859733"/>
          <a:ext cx="5790180" cy="39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CALLE AYACUCHO, CASA Nro 36, SECTOR CASCO CENTRAL. CABIMAS - EDO. ZULIA ZONA POSTAL 4013          </a:t>
          </a:r>
        </a:p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TELF.: (0264) 241.65.04 - E-MAIL: LLLIMPORTCA@GMAIL.COM</a:t>
          </a:r>
        </a:p>
      </xdr:txBody>
    </xdr:sp>
    <xdr:clientData/>
  </xdr:twoCellAnchor>
  <xdr:twoCellAnchor>
    <xdr:from>
      <xdr:col>2</xdr:col>
      <xdr:colOff>122464</xdr:colOff>
      <xdr:row>738</xdr:row>
      <xdr:rowOff>78241</xdr:rowOff>
    </xdr:from>
    <xdr:to>
      <xdr:col>11</xdr:col>
      <xdr:colOff>488156</xdr:colOff>
      <xdr:row>738</xdr:row>
      <xdr:rowOff>83343</xdr:rowOff>
    </xdr:to>
    <xdr:cxnSp macro="">
      <xdr:nvCxnSpPr>
        <xdr:cNvPr id="142" name="Straight Connector 141">
          <a:extLst>
            <a:ext uri="{FF2B5EF4-FFF2-40B4-BE49-F238E27FC236}">
              <a16:creationId xmlns:a16="http://schemas.microsoft.com/office/drawing/2014/main" id="{D22C399A-4042-47C8-8FC1-5287E34C2277}"/>
            </a:ext>
          </a:extLst>
        </xdr:cNvPr>
        <xdr:cNvCxnSpPr/>
      </xdr:nvCxnSpPr>
      <xdr:spPr>
        <a:xfrm>
          <a:off x="1240616" y="63249698"/>
          <a:ext cx="5360105" cy="510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119503</xdr:colOff>
      <xdr:row>738</xdr:row>
      <xdr:rowOff>32085</xdr:rowOff>
    </xdr:from>
    <xdr:to>
      <xdr:col>11</xdr:col>
      <xdr:colOff>482203</xdr:colOff>
      <xdr:row>738</xdr:row>
      <xdr:rowOff>35718</xdr:rowOff>
    </xdr:to>
    <xdr:cxnSp macro="">
      <xdr:nvCxnSpPr>
        <xdr:cNvPr id="143" name="Straight Connector 142">
          <a:extLst>
            <a:ext uri="{FF2B5EF4-FFF2-40B4-BE49-F238E27FC236}">
              <a16:creationId xmlns:a16="http://schemas.microsoft.com/office/drawing/2014/main" id="{2FF8D8CB-66D0-4EC2-B05E-2155EC6B437E}"/>
            </a:ext>
          </a:extLst>
        </xdr:cNvPr>
        <xdr:cNvCxnSpPr/>
      </xdr:nvCxnSpPr>
      <xdr:spPr>
        <a:xfrm>
          <a:off x="1237655" y="63203542"/>
          <a:ext cx="5357113" cy="363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325589</xdr:colOff>
      <xdr:row>781</xdr:row>
      <xdr:rowOff>21979</xdr:rowOff>
    </xdr:from>
    <xdr:to>
      <xdr:col>11</xdr:col>
      <xdr:colOff>315515</xdr:colOff>
      <xdr:row>782</xdr:row>
      <xdr:rowOff>152948</xdr:rowOff>
    </xdr:to>
    <xdr:sp macro="" textlink="">
      <xdr:nvSpPr>
        <xdr:cNvPr id="144" name="Rectangle: Rounded Corners 143">
          <a:extLst>
            <a:ext uri="{FF2B5EF4-FFF2-40B4-BE49-F238E27FC236}">
              <a16:creationId xmlns:a16="http://schemas.microsoft.com/office/drawing/2014/main" id="{041FB6B2-DB64-4D49-B033-3F3D3992924B}"/>
            </a:ext>
          </a:extLst>
        </xdr:cNvPr>
        <xdr:cNvSpPr/>
      </xdr:nvSpPr>
      <xdr:spPr>
        <a:xfrm>
          <a:off x="325589" y="71037066"/>
          <a:ext cx="6102491" cy="304904"/>
        </a:xfrm>
        <a:prstGeom prst="roundRect">
          <a:avLst/>
        </a:prstGeom>
        <a:noFill/>
        <a:ln w="2857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249115</xdr:colOff>
      <xdr:row>776</xdr:row>
      <xdr:rowOff>175846</xdr:rowOff>
    </xdr:from>
    <xdr:to>
      <xdr:col>4</xdr:col>
      <xdr:colOff>395654</xdr:colOff>
      <xdr:row>776</xdr:row>
      <xdr:rowOff>175846</xdr:rowOff>
    </xdr:to>
    <xdr:cxnSp macro="">
      <xdr:nvCxnSpPr>
        <xdr:cNvPr id="145" name="Straight Connector 144">
          <a:extLst>
            <a:ext uri="{FF2B5EF4-FFF2-40B4-BE49-F238E27FC236}">
              <a16:creationId xmlns:a16="http://schemas.microsoft.com/office/drawing/2014/main" id="{0AB670AB-D487-42D1-BE31-1FDC08BF21CE}"/>
            </a:ext>
          </a:extLst>
        </xdr:cNvPr>
        <xdr:cNvCxnSpPr/>
      </xdr:nvCxnSpPr>
      <xdr:spPr>
        <a:xfrm>
          <a:off x="1367267" y="70279846"/>
          <a:ext cx="1430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392</xdr:row>
      <xdr:rowOff>0</xdr:rowOff>
    </xdr:from>
    <xdr:to>
      <xdr:col>2</xdr:col>
      <xdr:colOff>72379</xdr:colOff>
      <xdr:row>398</xdr:row>
      <xdr:rowOff>173935</xdr:rowOff>
    </xdr:to>
    <xdr:pic>
      <xdr:nvPicPr>
        <xdr:cNvPr id="150" name="Picture 149" descr="A logo of an airplane&#10;&#10;Description automatically generated">
          <a:extLst>
            <a:ext uri="{FF2B5EF4-FFF2-40B4-BE49-F238E27FC236}">
              <a16:creationId xmlns:a16="http://schemas.microsoft.com/office/drawing/2014/main" id="{AA82259B-2771-4588-BE44-020903808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1561739"/>
          <a:ext cx="1190531" cy="12755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441</xdr:row>
      <xdr:rowOff>0</xdr:rowOff>
    </xdr:from>
    <xdr:to>
      <xdr:col>2</xdr:col>
      <xdr:colOff>72379</xdr:colOff>
      <xdr:row>447</xdr:row>
      <xdr:rowOff>173936</xdr:rowOff>
    </xdr:to>
    <xdr:pic>
      <xdr:nvPicPr>
        <xdr:cNvPr id="151" name="Picture 150" descr="A logo of an airplane&#10;&#10;Description automatically generated">
          <a:extLst>
            <a:ext uri="{FF2B5EF4-FFF2-40B4-BE49-F238E27FC236}">
              <a16:creationId xmlns:a16="http://schemas.microsoft.com/office/drawing/2014/main" id="{C9B755C1-E0E6-4EA4-B828-E6F5B0D1F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0506957"/>
          <a:ext cx="1190531" cy="12755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490</xdr:row>
      <xdr:rowOff>0</xdr:rowOff>
    </xdr:from>
    <xdr:to>
      <xdr:col>2</xdr:col>
      <xdr:colOff>72379</xdr:colOff>
      <xdr:row>496</xdr:row>
      <xdr:rowOff>173935</xdr:rowOff>
    </xdr:to>
    <xdr:pic>
      <xdr:nvPicPr>
        <xdr:cNvPr id="152" name="Picture 151" descr="A logo of an airplane&#10;&#10;Description automatically generated">
          <a:extLst>
            <a:ext uri="{FF2B5EF4-FFF2-40B4-BE49-F238E27FC236}">
              <a16:creationId xmlns:a16="http://schemas.microsoft.com/office/drawing/2014/main" id="{632308A8-F7C2-42DD-BA23-AC19DC771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452174"/>
          <a:ext cx="1190531" cy="12755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539</xdr:row>
      <xdr:rowOff>0</xdr:rowOff>
    </xdr:from>
    <xdr:to>
      <xdr:col>2</xdr:col>
      <xdr:colOff>72379</xdr:colOff>
      <xdr:row>545</xdr:row>
      <xdr:rowOff>173935</xdr:rowOff>
    </xdr:to>
    <xdr:pic>
      <xdr:nvPicPr>
        <xdr:cNvPr id="153" name="Picture 152" descr="A logo of an airplane&#10;&#10;Description automatically generated">
          <a:extLst>
            <a:ext uri="{FF2B5EF4-FFF2-40B4-BE49-F238E27FC236}">
              <a16:creationId xmlns:a16="http://schemas.microsoft.com/office/drawing/2014/main" id="{E97F1851-5B71-48D9-B65F-DDFFD7F60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8397391"/>
          <a:ext cx="1190531" cy="12755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588</xdr:row>
      <xdr:rowOff>0</xdr:rowOff>
    </xdr:from>
    <xdr:to>
      <xdr:col>2</xdr:col>
      <xdr:colOff>72379</xdr:colOff>
      <xdr:row>594</xdr:row>
      <xdr:rowOff>173935</xdr:rowOff>
    </xdr:to>
    <xdr:pic>
      <xdr:nvPicPr>
        <xdr:cNvPr id="154" name="Picture 153" descr="A logo of an airplane&#10;&#10;Description automatically generated">
          <a:extLst>
            <a:ext uri="{FF2B5EF4-FFF2-40B4-BE49-F238E27FC236}">
              <a16:creationId xmlns:a16="http://schemas.microsoft.com/office/drawing/2014/main" id="{E22920D5-8B98-4FCE-9DA5-16A769927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342609"/>
          <a:ext cx="1190531" cy="12755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637</xdr:row>
      <xdr:rowOff>0</xdr:rowOff>
    </xdr:from>
    <xdr:to>
      <xdr:col>2</xdr:col>
      <xdr:colOff>72379</xdr:colOff>
      <xdr:row>643</xdr:row>
      <xdr:rowOff>173935</xdr:rowOff>
    </xdr:to>
    <xdr:pic>
      <xdr:nvPicPr>
        <xdr:cNvPr id="155" name="Picture 154" descr="A logo of an airplane&#10;&#10;Description automatically generated">
          <a:extLst>
            <a:ext uri="{FF2B5EF4-FFF2-40B4-BE49-F238E27FC236}">
              <a16:creationId xmlns:a16="http://schemas.microsoft.com/office/drawing/2014/main" id="{DF3CE033-56A5-478B-9E4B-59A3F81FA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6287826"/>
          <a:ext cx="1190531" cy="12755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685</xdr:row>
      <xdr:rowOff>190500</xdr:rowOff>
    </xdr:from>
    <xdr:to>
      <xdr:col>2</xdr:col>
      <xdr:colOff>72379</xdr:colOff>
      <xdr:row>692</xdr:row>
      <xdr:rowOff>173935</xdr:rowOff>
    </xdr:to>
    <xdr:pic>
      <xdr:nvPicPr>
        <xdr:cNvPr id="156" name="Picture 155" descr="A logo of an airplane&#10;&#10;Description automatically generated">
          <a:extLst>
            <a:ext uri="{FF2B5EF4-FFF2-40B4-BE49-F238E27FC236}">
              <a16:creationId xmlns:a16="http://schemas.microsoft.com/office/drawing/2014/main" id="{A429F09B-9FA2-4CFC-94C9-33F2E64F8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5233043"/>
          <a:ext cx="1190531" cy="12755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735</xdr:row>
      <xdr:rowOff>0</xdr:rowOff>
    </xdr:from>
    <xdr:to>
      <xdr:col>2</xdr:col>
      <xdr:colOff>72379</xdr:colOff>
      <xdr:row>741</xdr:row>
      <xdr:rowOff>173935</xdr:rowOff>
    </xdr:to>
    <xdr:pic>
      <xdr:nvPicPr>
        <xdr:cNvPr id="157" name="Picture 156" descr="A logo of an airplane&#10;&#10;Description automatically generated">
          <a:extLst>
            <a:ext uri="{FF2B5EF4-FFF2-40B4-BE49-F238E27FC236}">
              <a16:creationId xmlns:a16="http://schemas.microsoft.com/office/drawing/2014/main" id="{46035415-5CFF-493B-A2B2-905A93AE0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4178261"/>
          <a:ext cx="1190531" cy="1275522"/>
        </a:xfrm>
        <a:prstGeom prst="rect">
          <a:avLst/>
        </a:prstGeom>
      </xdr:spPr>
    </xdr:pic>
    <xdr:clientData/>
  </xdr:twoCellAnchor>
  <xdr:twoCellAnchor>
    <xdr:from>
      <xdr:col>2</xdr:col>
      <xdr:colOff>30088</xdr:colOff>
      <xdr:row>787</xdr:row>
      <xdr:rowOff>85396</xdr:rowOff>
    </xdr:from>
    <xdr:to>
      <xdr:col>3</xdr:col>
      <xdr:colOff>95779</xdr:colOff>
      <xdr:row>788</xdr:row>
      <xdr:rowOff>59122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34D0F4D9-4C30-4884-B1AA-B5B9DB2CEE39}"/>
            </a:ext>
          </a:extLst>
        </xdr:cNvPr>
        <xdr:cNvSpPr txBox="1"/>
      </xdr:nvSpPr>
      <xdr:spPr>
        <a:xfrm>
          <a:off x="1148240" y="640331"/>
          <a:ext cx="736582" cy="155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>
              <a:latin typeface="Arial" panose="020B0604020202020204" pitchFamily="34" charset="0"/>
              <a:cs typeface="Arial" panose="020B0604020202020204" pitchFamily="34" charset="0"/>
            </a:rPr>
            <a:t>J-40542036-0</a:t>
          </a:r>
        </a:p>
      </xdr:txBody>
    </xdr:sp>
    <xdr:clientData/>
  </xdr:twoCellAnchor>
  <xdr:twoCellAnchor>
    <xdr:from>
      <xdr:col>5</xdr:col>
      <xdr:colOff>974405</xdr:colOff>
      <xdr:row>789</xdr:row>
      <xdr:rowOff>13784</xdr:rowOff>
    </xdr:from>
    <xdr:to>
      <xdr:col>9</xdr:col>
      <xdr:colOff>156610</xdr:colOff>
      <xdr:row>791</xdr:row>
      <xdr:rowOff>29308</xdr:rowOff>
    </xdr:to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ADE65001-D565-48A7-8EB6-6E504473E4AB}"/>
            </a:ext>
          </a:extLst>
        </xdr:cNvPr>
        <xdr:cNvSpPr txBox="1"/>
      </xdr:nvSpPr>
      <xdr:spPr>
        <a:xfrm>
          <a:off x="4014122" y="933154"/>
          <a:ext cx="1045792" cy="37995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FORMA LIBRE</a:t>
          </a:r>
        </a:p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N° de Control</a:t>
          </a:r>
        </a:p>
      </xdr:txBody>
    </xdr:sp>
    <xdr:clientData/>
  </xdr:twoCellAnchor>
  <xdr:twoCellAnchor>
    <xdr:from>
      <xdr:col>9</xdr:col>
      <xdr:colOff>158514</xdr:colOff>
      <xdr:row>789</xdr:row>
      <xdr:rowOff>13671</xdr:rowOff>
    </xdr:from>
    <xdr:to>
      <xdr:col>10</xdr:col>
      <xdr:colOff>249114</xdr:colOff>
      <xdr:row>790</xdr:row>
      <xdr:rowOff>157430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1F4B9005-8301-4086-A72F-AA1889FA6843}"/>
            </a:ext>
          </a:extLst>
        </xdr:cNvPr>
        <xdr:cNvSpPr txBox="1"/>
      </xdr:nvSpPr>
      <xdr:spPr>
        <a:xfrm>
          <a:off x="5061818" y="933041"/>
          <a:ext cx="529579" cy="325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Arial" panose="020B0604020202020204" pitchFamily="34" charset="0"/>
              <a:ea typeface="Roboto" panose="02000000000000000000" pitchFamily="2" charset="0"/>
              <a:cs typeface="Arial" panose="020B0604020202020204" pitchFamily="34" charset="0"/>
            </a:rPr>
            <a:t>00-</a:t>
          </a:r>
          <a:endParaRPr lang="en-US" sz="1600">
            <a:solidFill>
              <a:srgbClr val="FF0000"/>
            </a:solidFill>
            <a:latin typeface="Arial" panose="020B0604020202020204" pitchFamily="34" charset="0"/>
            <a:ea typeface="Roboto" panose="02000000000000000000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322385</xdr:colOff>
      <xdr:row>785</xdr:row>
      <xdr:rowOff>52711</xdr:rowOff>
    </xdr:from>
    <xdr:to>
      <xdr:col>12</xdr:col>
      <xdr:colOff>0</xdr:colOff>
      <xdr:row>787</xdr:row>
      <xdr:rowOff>80211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422F80AB-D6B8-4EB5-84B6-ED8C5727F469}"/>
            </a:ext>
          </a:extLst>
        </xdr:cNvPr>
        <xdr:cNvSpPr txBox="1"/>
      </xdr:nvSpPr>
      <xdr:spPr>
        <a:xfrm>
          <a:off x="910450" y="243211"/>
          <a:ext cx="5790180" cy="39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CALLE AYACUCHO, CASA Nro 36, SECTOR CASCO CENTRAL. CABIMAS - EDO. ZULIA ZONA POSTAL 4013          </a:t>
          </a:r>
        </a:p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TELF.: (0264) 241.65.04 - E-MAIL: LLLIMPORTCA@GMAIL.COM</a:t>
          </a:r>
        </a:p>
      </xdr:txBody>
    </xdr:sp>
    <xdr:clientData/>
  </xdr:twoCellAnchor>
  <xdr:twoCellAnchor>
    <xdr:from>
      <xdr:col>2</xdr:col>
      <xdr:colOff>122464</xdr:colOff>
      <xdr:row>787</xdr:row>
      <xdr:rowOff>78241</xdr:rowOff>
    </xdr:from>
    <xdr:to>
      <xdr:col>11</xdr:col>
      <xdr:colOff>488156</xdr:colOff>
      <xdr:row>787</xdr:row>
      <xdr:rowOff>83343</xdr:rowOff>
    </xdr:to>
    <xdr:cxnSp macro="">
      <xdr:nvCxnSpPr>
        <xdr:cNvPr id="163" name="Straight Connector 162">
          <a:extLst>
            <a:ext uri="{FF2B5EF4-FFF2-40B4-BE49-F238E27FC236}">
              <a16:creationId xmlns:a16="http://schemas.microsoft.com/office/drawing/2014/main" id="{F564C743-DD20-4574-B422-2F51EB156C0B}"/>
            </a:ext>
          </a:extLst>
        </xdr:cNvPr>
        <xdr:cNvCxnSpPr/>
      </xdr:nvCxnSpPr>
      <xdr:spPr>
        <a:xfrm>
          <a:off x="1240616" y="633176"/>
          <a:ext cx="5360105" cy="510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119503</xdr:colOff>
      <xdr:row>787</xdr:row>
      <xdr:rowOff>32085</xdr:rowOff>
    </xdr:from>
    <xdr:to>
      <xdr:col>11</xdr:col>
      <xdr:colOff>482203</xdr:colOff>
      <xdr:row>787</xdr:row>
      <xdr:rowOff>35718</xdr:rowOff>
    </xdr:to>
    <xdr:cxnSp macro="">
      <xdr:nvCxnSpPr>
        <xdr:cNvPr id="164" name="Straight Connector 163">
          <a:extLst>
            <a:ext uri="{FF2B5EF4-FFF2-40B4-BE49-F238E27FC236}">
              <a16:creationId xmlns:a16="http://schemas.microsoft.com/office/drawing/2014/main" id="{8F73208C-C521-4506-A0CC-E5EFFAD84B04}"/>
            </a:ext>
          </a:extLst>
        </xdr:cNvPr>
        <xdr:cNvCxnSpPr/>
      </xdr:nvCxnSpPr>
      <xdr:spPr>
        <a:xfrm>
          <a:off x="1237655" y="587020"/>
          <a:ext cx="5357113" cy="363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325589</xdr:colOff>
      <xdr:row>830</xdr:row>
      <xdr:rowOff>21979</xdr:rowOff>
    </xdr:from>
    <xdr:to>
      <xdr:col>11</xdr:col>
      <xdr:colOff>315515</xdr:colOff>
      <xdr:row>831</xdr:row>
      <xdr:rowOff>152948</xdr:rowOff>
    </xdr:to>
    <xdr:sp macro="" textlink="">
      <xdr:nvSpPr>
        <xdr:cNvPr id="165" name="Rectangle: Rounded Corners 164">
          <a:extLst>
            <a:ext uri="{FF2B5EF4-FFF2-40B4-BE49-F238E27FC236}">
              <a16:creationId xmlns:a16="http://schemas.microsoft.com/office/drawing/2014/main" id="{02CACE3D-5E50-4868-A496-40667A1247BF}"/>
            </a:ext>
          </a:extLst>
        </xdr:cNvPr>
        <xdr:cNvSpPr/>
      </xdr:nvSpPr>
      <xdr:spPr>
        <a:xfrm>
          <a:off x="325589" y="8420544"/>
          <a:ext cx="6102491" cy="304904"/>
        </a:xfrm>
        <a:prstGeom prst="roundRect">
          <a:avLst/>
        </a:prstGeom>
        <a:noFill/>
        <a:ln w="2857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249115</xdr:colOff>
      <xdr:row>825</xdr:row>
      <xdr:rowOff>175846</xdr:rowOff>
    </xdr:from>
    <xdr:to>
      <xdr:col>4</xdr:col>
      <xdr:colOff>395654</xdr:colOff>
      <xdr:row>825</xdr:row>
      <xdr:rowOff>175846</xdr:rowOff>
    </xdr:to>
    <xdr:cxnSp macro="">
      <xdr:nvCxnSpPr>
        <xdr:cNvPr id="166" name="Straight Connector 165">
          <a:extLst>
            <a:ext uri="{FF2B5EF4-FFF2-40B4-BE49-F238E27FC236}">
              <a16:creationId xmlns:a16="http://schemas.microsoft.com/office/drawing/2014/main" id="{582FF524-670F-4434-B7BC-E8BDF337DDC7}"/>
            </a:ext>
          </a:extLst>
        </xdr:cNvPr>
        <xdr:cNvCxnSpPr/>
      </xdr:nvCxnSpPr>
      <xdr:spPr>
        <a:xfrm>
          <a:off x="1367267" y="7663324"/>
          <a:ext cx="1430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30088</xdr:colOff>
      <xdr:row>836</xdr:row>
      <xdr:rowOff>85396</xdr:rowOff>
    </xdr:from>
    <xdr:to>
      <xdr:col>3</xdr:col>
      <xdr:colOff>95779</xdr:colOff>
      <xdr:row>837</xdr:row>
      <xdr:rowOff>59122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AD91516F-C3BC-47D3-8218-9406445B803A}"/>
            </a:ext>
          </a:extLst>
        </xdr:cNvPr>
        <xdr:cNvSpPr txBox="1"/>
      </xdr:nvSpPr>
      <xdr:spPr>
        <a:xfrm>
          <a:off x="1148240" y="9585548"/>
          <a:ext cx="736582" cy="1559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>
              <a:latin typeface="Arial" panose="020B0604020202020204" pitchFamily="34" charset="0"/>
              <a:cs typeface="Arial" panose="020B0604020202020204" pitchFamily="34" charset="0"/>
            </a:rPr>
            <a:t>J-40542036-0</a:t>
          </a:r>
        </a:p>
      </xdr:txBody>
    </xdr:sp>
    <xdr:clientData/>
  </xdr:twoCellAnchor>
  <xdr:twoCellAnchor>
    <xdr:from>
      <xdr:col>5</xdr:col>
      <xdr:colOff>974405</xdr:colOff>
      <xdr:row>838</xdr:row>
      <xdr:rowOff>13784</xdr:rowOff>
    </xdr:from>
    <xdr:to>
      <xdr:col>9</xdr:col>
      <xdr:colOff>156610</xdr:colOff>
      <xdr:row>840</xdr:row>
      <xdr:rowOff>29308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51CAC460-849E-4FA2-B03E-B50B4AE716D7}"/>
            </a:ext>
          </a:extLst>
        </xdr:cNvPr>
        <xdr:cNvSpPr txBox="1"/>
      </xdr:nvSpPr>
      <xdr:spPr>
        <a:xfrm>
          <a:off x="4014122" y="9878371"/>
          <a:ext cx="1045792" cy="3799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FORMA LIBRE</a:t>
          </a:r>
        </a:p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N° de Control</a:t>
          </a:r>
        </a:p>
      </xdr:txBody>
    </xdr:sp>
    <xdr:clientData/>
  </xdr:twoCellAnchor>
  <xdr:twoCellAnchor>
    <xdr:from>
      <xdr:col>9</xdr:col>
      <xdr:colOff>158514</xdr:colOff>
      <xdr:row>838</xdr:row>
      <xdr:rowOff>13671</xdr:rowOff>
    </xdr:from>
    <xdr:to>
      <xdr:col>10</xdr:col>
      <xdr:colOff>249114</xdr:colOff>
      <xdr:row>839</xdr:row>
      <xdr:rowOff>157430</xdr:rowOff>
    </xdr:to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EF7ABAE7-A0E5-4768-8ABD-8E4E0EC46AF0}"/>
            </a:ext>
          </a:extLst>
        </xdr:cNvPr>
        <xdr:cNvSpPr txBox="1"/>
      </xdr:nvSpPr>
      <xdr:spPr>
        <a:xfrm>
          <a:off x="5061818" y="9878258"/>
          <a:ext cx="529579" cy="325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Arial" panose="020B0604020202020204" pitchFamily="34" charset="0"/>
              <a:ea typeface="Roboto" panose="02000000000000000000" pitchFamily="2" charset="0"/>
              <a:cs typeface="Arial" panose="020B0604020202020204" pitchFamily="34" charset="0"/>
            </a:rPr>
            <a:t>00-</a:t>
          </a:r>
          <a:endParaRPr lang="en-US" sz="1600">
            <a:solidFill>
              <a:srgbClr val="FF0000"/>
            </a:solidFill>
            <a:latin typeface="Arial" panose="020B0604020202020204" pitchFamily="34" charset="0"/>
            <a:ea typeface="Roboto" panose="02000000000000000000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322385</xdr:colOff>
      <xdr:row>834</xdr:row>
      <xdr:rowOff>52711</xdr:rowOff>
    </xdr:from>
    <xdr:to>
      <xdr:col>12</xdr:col>
      <xdr:colOff>0</xdr:colOff>
      <xdr:row>836</xdr:row>
      <xdr:rowOff>80211</xdr:rowOff>
    </xdr:to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AD1D42B6-3C1F-4DCF-BC34-E6440C651E5A}"/>
            </a:ext>
          </a:extLst>
        </xdr:cNvPr>
        <xdr:cNvSpPr txBox="1"/>
      </xdr:nvSpPr>
      <xdr:spPr>
        <a:xfrm>
          <a:off x="910450" y="9188428"/>
          <a:ext cx="5790180" cy="39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CALLE AYACUCHO, CASA Nro 36, SECTOR CASCO CENTRAL. CABIMAS - EDO. ZULIA ZONA POSTAL 4013          </a:t>
          </a:r>
        </a:p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TELF.: (0264) 241.65.04 - E-MAIL: LLLIMPORTCA@GMAIL.COM</a:t>
          </a:r>
        </a:p>
      </xdr:txBody>
    </xdr:sp>
    <xdr:clientData/>
  </xdr:twoCellAnchor>
  <xdr:twoCellAnchor>
    <xdr:from>
      <xdr:col>2</xdr:col>
      <xdr:colOff>122464</xdr:colOff>
      <xdr:row>836</xdr:row>
      <xdr:rowOff>78241</xdr:rowOff>
    </xdr:from>
    <xdr:to>
      <xdr:col>11</xdr:col>
      <xdr:colOff>488156</xdr:colOff>
      <xdr:row>836</xdr:row>
      <xdr:rowOff>83343</xdr:rowOff>
    </xdr:to>
    <xdr:cxnSp macro="">
      <xdr:nvCxnSpPr>
        <xdr:cNvPr id="171" name="Straight Connector 170">
          <a:extLst>
            <a:ext uri="{FF2B5EF4-FFF2-40B4-BE49-F238E27FC236}">
              <a16:creationId xmlns:a16="http://schemas.microsoft.com/office/drawing/2014/main" id="{D7AA89A6-0C23-4D30-A8C3-5FC56DF922C4}"/>
            </a:ext>
          </a:extLst>
        </xdr:cNvPr>
        <xdr:cNvCxnSpPr/>
      </xdr:nvCxnSpPr>
      <xdr:spPr>
        <a:xfrm>
          <a:off x="1240616" y="9578393"/>
          <a:ext cx="5360105" cy="510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119503</xdr:colOff>
      <xdr:row>836</xdr:row>
      <xdr:rowOff>32085</xdr:rowOff>
    </xdr:from>
    <xdr:to>
      <xdr:col>11</xdr:col>
      <xdr:colOff>482203</xdr:colOff>
      <xdr:row>836</xdr:row>
      <xdr:rowOff>35718</xdr:rowOff>
    </xdr:to>
    <xdr:cxnSp macro="">
      <xdr:nvCxnSpPr>
        <xdr:cNvPr id="172" name="Straight Connector 171">
          <a:extLst>
            <a:ext uri="{FF2B5EF4-FFF2-40B4-BE49-F238E27FC236}">
              <a16:creationId xmlns:a16="http://schemas.microsoft.com/office/drawing/2014/main" id="{1D9B514C-B556-42F2-B8D7-10349C04BB57}"/>
            </a:ext>
          </a:extLst>
        </xdr:cNvPr>
        <xdr:cNvCxnSpPr/>
      </xdr:nvCxnSpPr>
      <xdr:spPr>
        <a:xfrm>
          <a:off x="1237655" y="9532237"/>
          <a:ext cx="5357113" cy="363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325589</xdr:colOff>
      <xdr:row>879</xdr:row>
      <xdr:rowOff>21979</xdr:rowOff>
    </xdr:from>
    <xdr:to>
      <xdr:col>11</xdr:col>
      <xdr:colOff>315515</xdr:colOff>
      <xdr:row>880</xdr:row>
      <xdr:rowOff>152948</xdr:rowOff>
    </xdr:to>
    <xdr:sp macro="" textlink="">
      <xdr:nvSpPr>
        <xdr:cNvPr id="173" name="Rectangle: Rounded Corners 172">
          <a:extLst>
            <a:ext uri="{FF2B5EF4-FFF2-40B4-BE49-F238E27FC236}">
              <a16:creationId xmlns:a16="http://schemas.microsoft.com/office/drawing/2014/main" id="{855AEFF2-273B-4F95-996D-2174A1CE46AB}"/>
            </a:ext>
          </a:extLst>
        </xdr:cNvPr>
        <xdr:cNvSpPr/>
      </xdr:nvSpPr>
      <xdr:spPr>
        <a:xfrm>
          <a:off x="325589" y="17365762"/>
          <a:ext cx="6102491" cy="304903"/>
        </a:xfrm>
        <a:prstGeom prst="roundRect">
          <a:avLst/>
        </a:prstGeom>
        <a:noFill/>
        <a:ln w="2857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249115</xdr:colOff>
      <xdr:row>874</xdr:row>
      <xdr:rowOff>175846</xdr:rowOff>
    </xdr:from>
    <xdr:to>
      <xdr:col>4</xdr:col>
      <xdr:colOff>395654</xdr:colOff>
      <xdr:row>874</xdr:row>
      <xdr:rowOff>175846</xdr:rowOff>
    </xdr:to>
    <xdr:cxnSp macro="">
      <xdr:nvCxnSpPr>
        <xdr:cNvPr id="174" name="Straight Connector 173">
          <a:extLst>
            <a:ext uri="{FF2B5EF4-FFF2-40B4-BE49-F238E27FC236}">
              <a16:creationId xmlns:a16="http://schemas.microsoft.com/office/drawing/2014/main" id="{DE950F57-19B7-4C7D-B36E-76FA882B47E3}"/>
            </a:ext>
          </a:extLst>
        </xdr:cNvPr>
        <xdr:cNvCxnSpPr/>
      </xdr:nvCxnSpPr>
      <xdr:spPr>
        <a:xfrm>
          <a:off x="1367267" y="16608542"/>
          <a:ext cx="1430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30088</xdr:colOff>
      <xdr:row>885</xdr:row>
      <xdr:rowOff>85396</xdr:rowOff>
    </xdr:from>
    <xdr:to>
      <xdr:col>3</xdr:col>
      <xdr:colOff>95779</xdr:colOff>
      <xdr:row>886</xdr:row>
      <xdr:rowOff>59122</xdr:rowOff>
    </xdr:to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F2173D18-B008-4D15-90AD-9A960260538B}"/>
            </a:ext>
          </a:extLst>
        </xdr:cNvPr>
        <xdr:cNvSpPr txBox="1"/>
      </xdr:nvSpPr>
      <xdr:spPr>
        <a:xfrm>
          <a:off x="1148240" y="18530766"/>
          <a:ext cx="736582" cy="155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>
              <a:latin typeface="Arial" panose="020B0604020202020204" pitchFamily="34" charset="0"/>
              <a:cs typeface="Arial" panose="020B0604020202020204" pitchFamily="34" charset="0"/>
            </a:rPr>
            <a:t>J-40542036-0</a:t>
          </a:r>
        </a:p>
      </xdr:txBody>
    </xdr:sp>
    <xdr:clientData/>
  </xdr:twoCellAnchor>
  <xdr:twoCellAnchor>
    <xdr:from>
      <xdr:col>5</xdr:col>
      <xdr:colOff>974405</xdr:colOff>
      <xdr:row>887</xdr:row>
      <xdr:rowOff>13784</xdr:rowOff>
    </xdr:from>
    <xdr:to>
      <xdr:col>9</xdr:col>
      <xdr:colOff>156610</xdr:colOff>
      <xdr:row>889</xdr:row>
      <xdr:rowOff>29308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743B220B-7686-4023-A6D0-1CBDAE23C5C0}"/>
            </a:ext>
          </a:extLst>
        </xdr:cNvPr>
        <xdr:cNvSpPr txBox="1"/>
      </xdr:nvSpPr>
      <xdr:spPr>
        <a:xfrm>
          <a:off x="4014122" y="18823588"/>
          <a:ext cx="1045792" cy="3799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FORMA LIBRE</a:t>
          </a:r>
        </a:p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N° de Control</a:t>
          </a:r>
        </a:p>
      </xdr:txBody>
    </xdr:sp>
    <xdr:clientData/>
  </xdr:twoCellAnchor>
  <xdr:twoCellAnchor>
    <xdr:from>
      <xdr:col>9</xdr:col>
      <xdr:colOff>158514</xdr:colOff>
      <xdr:row>887</xdr:row>
      <xdr:rowOff>13671</xdr:rowOff>
    </xdr:from>
    <xdr:to>
      <xdr:col>10</xdr:col>
      <xdr:colOff>249114</xdr:colOff>
      <xdr:row>888</xdr:row>
      <xdr:rowOff>157430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C18015CC-3210-4AF4-882D-6FBEA063D969}"/>
            </a:ext>
          </a:extLst>
        </xdr:cNvPr>
        <xdr:cNvSpPr txBox="1"/>
      </xdr:nvSpPr>
      <xdr:spPr>
        <a:xfrm>
          <a:off x="5061818" y="18823475"/>
          <a:ext cx="529579" cy="325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Arial" panose="020B0604020202020204" pitchFamily="34" charset="0"/>
              <a:ea typeface="Roboto" panose="02000000000000000000" pitchFamily="2" charset="0"/>
              <a:cs typeface="Arial" panose="020B0604020202020204" pitchFamily="34" charset="0"/>
            </a:rPr>
            <a:t>00-</a:t>
          </a:r>
          <a:endParaRPr lang="en-US" sz="1600">
            <a:solidFill>
              <a:srgbClr val="FF0000"/>
            </a:solidFill>
            <a:latin typeface="Arial" panose="020B0604020202020204" pitchFamily="34" charset="0"/>
            <a:ea typeface="Roboto" panose="02000000000000000000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322385</xdr:colOff>
      <xdr:row>883</xdr:row>
      <xdr:rowOff>52711</xdr:rowOff>
    </xdr:from>
    <xdr:to>
      <xdr:col>12</xdr:col>
      <xdr:colOff>0</xdr:colOff>
      <xdr:row>885</xdr:row>
      <xdr:rowOff>80211</xdr:rowOff>
    </xdr:to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4857152E-691C-45C4-B217-CF3AC4902666}"/>
            </a:ext>
          </a:extLst>
        </xdr:cNvPr>
        <xdr:cNvSpPr txBox="1"/>
      </xdr:nvSpPr>
      <xdr:spPr>
        <a:xfrm>
          <a:off x="910450" y="18133646"/>
          <a:ext cx="5790180" cy="39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CALLE AYACUCHO, CASA Nro 36, SECTOR CASCO CENTRAL. CABIMAS - EDO. ZULIA ZONA POSTAL 4013          </a:t>
          </a:r>
        </a:p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TELF.: (0264) 241.65.04 - E-MAIL: LLLIMPORTCA@GMAIL.COM</a:t>
          </a:r>
        </a:p>
      </xdr:txBody>
    </xdr:sp>
    <xdr:clientData/>
  </xdr:twoCellAnchor>
  <xdr:twoCellAnchor>
    <xdr:from>
      <xdr:col>2</xdr:col>
      <xdr:colOff>122464</xdr:colOff>
      <xdr:row>885</xdr:row>
      <xdr:rowOff>78241</xdr:rowOff>
    </xdr:from>
    <xdr:to>
      <xdr:col>11</xdr:col>
      <xdr:colOff>488156</xdr:colOff>
      <xdr:row>885</xdr:row>
      <xdr:rowOff>83343</xdr:rowOff>
    </xdr:to>
    <xdr:cxnSp macro="">
      <xdr:nvCxnSpPr>
        <xdr:cNvPr id="180" name="Straight Connector 179">
          <a:extLst>
            <a:ext uri="{FF2B5EF4-FFF2-40B4-BE49-F238E27FC236}">
              <a16:creationId xmlns:a16="http://schemas.microsoft.com/office/drawing/2014/main" id="{D5E8C75E-8B7B-4206-8F1B-C603E4D1EE36}"/>
            </a:ext>
          </a:extLst>
        </xdr:cNvPr>
        <xdr:cNvCxnSpPr/>
      </xdr:nvCxnSpPr>
      <xdr:spPr>
        <a:xfrm>
          <a:off x="1240616" y="18523611"/>
          <a:ext cx="5360105" cy="510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119503</xdr:colOff>
      <xdr:row>885</xdr:row>
      <xdr:rowOff>32085</xdr:rowOff>
    </xdr:from>
    <xdr:to>
      <xdr:col>11</xdr:col>
      <xdr:colOff>482203</xdr:colOff>
      <xdr:row>885</xdr:row>
      <xdr:rowOff>35718</xdr:rowOff>
    </xdr:to>
    <xdr:cxnSp macro="">
      <xdr:nvCxnSpPr>
        <xdr:cNvPr id="181" name="Straight Connector 180">
          <a:extLst>
            <a:ext uri="{FF2B5EF4-FFF2-40B4-BE49-F238E27FC236}">
              <a16:creationId xmlns:a16="http://schemas.microsoft.com/office/drawing/2014/main" id="{D7CB3A0F-6671-4719-84A0-49BC1E0275F0}"/>
            </a:ext>
          </a:extLst>
        </xdr:cNvPr>
        <xdr:cNvCxnSpPr/>
      </xdr:nvCxnSpPr>
      <xdr:spPr>
        <a:xfrm>
          <a:off x="1237655" y="18477455"/>
          <a:ext cx="5357113" cy="363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325589</xdr:colOff>
      <xdr:row>928</xdr:row>
      <xdr:rowOff>21979</xdr:rowOff>
    </xdr:from>
    <xdr:to>
      <xdr:col>11</xdr:col>
      <xdr:colOff>315515</xdr:colOff>
      <xdr:row>929</xdr:row>
      <xdr:rowOff>152948</xdr:rowOff>
    </xdr:to>
    <xdr:sp macro="" textlink="">
      <xdr:nvSpPr>
        <xdr:cNvPr id="182" name="Rectangle: Rounded Corners 181">
          <a:extLst>
            <a:ext uri="{FF2B5EF4-FFF2-40B4-BE49-F238E27FC236}">
              <a16:creationId xmlns:a16="http://schemas.microsoft.com/office/drawing/2014/main" id="{4125AA73-26FA-44AB-B403-09C38C9BA89B}"/>
            </a:ext>
          </a:extLst>
        </xdr:cNvPr>
        <xdr:cNvSpPr/>
      </xdr:nvSpPr>
      <xdr:spPr>
        <a:xfrm>
          <a:off x="325589" y="26310979"/>
          <a:ext cx="6102491" cy="304904"/>
        </a:xfrm>
        <a:prstGeom prst="roundRect">
          <a:avLst/>
        </a:prstGeom>
        <a:noFill/>
        <a:ln w="2857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249115</xdr:colOff>
      <xdr:row>923</xdr:row>
      <xdr:rowOff>175846</xdr:rowOff>
    </xdr:from>
    <xdr:to>
      <xdr:col>4</xdr:col>
      <xdr:colOff>395654</xdr:colOff>
      <xdr:row>923</xdr:row>
      <xdr:rowOff>175846</xdr:rowOff>
    </xdr:to>
    <xdr:cxnSp macro="">
      <xdr:nvCxnSpPr>
        <xdr:cNvPr id="183" name="Straight Connector 182">
          <a:extLst>
            <a:ext uri="{FF2B5EF4-FFF2-40B4-BE49-F238E27FC236}">
              <a16:creationId xmlns:a16="http://schemas.microsoft.com/office/drawing/2014/main" id="{82E6D183-8E94-4621-87C6-6BDCEF7CBCA6}"/>
            </a:ext>
          </a:extLst>
        </xdr:cNvPr>
        <xdr:cNvCxnSpPr/>
      </xdr:nvCxnSpPr>
      <xdr:spPr>
        <a:xfrm>
          <a:off x="1367267" y="25553759"/>
          <a:ext cx="1430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30088</xdr:colOff>
      <xdr:row>934</xdr:row>
      <xdr:rowOff>85396</xdr:rowOff>
    </xdr:from>
    <xdr:to>
      <xdr:col>3</xdr:col>
      <xdr:colOff>95779</xdr:colOff>
      <xdr:row>935</xdr:row>
      <xdr:rowOff>59122</xdr:rowOff>
    </xdr:to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B135D827-D4E6-4FFF-9668-C743A5113725}"/>
            </a:ext>
          </a:extLst>
        </xdr:cNvPr>
        <xdr:cNvSpPr txBox="1"/>
      </xdr:nvSpPr>
      <xdr:spPr>
        <a:xfrm>
          <a:off x="1148240" y="27475983"/>
          <a:ext cx="736582" cy="155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>
              <a:latin typeface="Arial" panose="020B0604020202020204" pitchFamily="34" charset="0"/>
              <a:cs typeface="Arial" panose="020B0604020202020204" pitchFamily="34" charset="0"/>
            </a:rPr>
            <a:t>J-40542036-0</a:t>
          </a:r>
        </a:p>
      </xdr:txBody>
    </xdr:sp>
    <xdr:clientData/>
  </xdr:twoCellAnchor>
  <xdr:twoCellAnchor>
    <xdr:from>
      <xdr:col>5</xdr:col>
      <xdr:colOff>974405</xdr:colOff>
      <xdr:row>936</xdr:row>
      <xdr:rowOff>13784</xdr:rowOff>
    </xdr:from>
    <xdr:to>
      <xdr:col>9</xdr:col>
      <xdr:colOff>156610</xdr:colOff>
      <xdr:row>938</xdr:row>
      <xdr:rowOff>29308</xdr:rowOff>
    </xdr:to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C4276485-9D8C-40B7-8850-2559DA815A40}"/>
            </a:ext>
          </a:extLst>
        </xdr:cNvPr>
        <xdr:cNvSpPr txBox="1"/>
      </xdr:nvSpPr>
      <xdr:spPr>
        <a:xfrm>
          <a:off x="4014122" y="27768806"/>
          <a:ext cx="1045792" cy="3799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FORMA LIBRE</a:t>
          </a:r>
        </a:p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N° de Control</a:t>
          </a:r>
        </a:p>
      </xdr:txBody>
    </xdr:sp>
    <xdr:clientData/>
  </xdr:twoCellAnchor>
  <xdr:twoCellAnchor>
    <xdr:from>
      <xdr:col>9</xdr:col>
      <xdr:colOff>158514</xdr:colOff>
      <xdr:row>936</xdr:row>
      <xdr:rowOff>13671</xdr:rowOff>
    </xdr:from>
    <xdr:to>
      <xdr:col>10</xdr:col>
      <xdr:colOff>249114</xdr:colOff>
      <xdr:row>937</xdr:row>
      <xdr:rowOff>157430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A3AF9DAE-4D6C-4017-B334-0CA32EB403A4}"/>
            </a:ext>
          </a:extLst>
        </xdr:cNvPr>
        <xdr:cNvSpPr txBox="1"/>
      </xdr:nvSpPr>
      <xdr:spPr>
        <a:xfrm>
          <a:off x="5061818" y="27768693"/>
          <a:ext cx="529579" cy="325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Arial" panose="020B0604020202020204" pitchFamily="34" charset="0"/>
              <a:ea typeface="Roboto" panose="02000000000000000000" pitchFamily="2" charset="0"/>
              <a:cs typeface="Arial" panose="020B0604020202020204" pitchFamily="34" charset="0"/>
            </a:rPr>
            <a:t>00-</a:t>
          </a:r>
          <a:endParaRPr lang="en-US" sz="1600">
            <a:solidFill>
              <a:srgbClr val="FF0000"/>
            </a:solidFill>
            <a:latin typeface="Arial" panose="020B0604020202020204" pitchFamily="34" charset="0"/>
            <a:ea typeface="Roboto" panose="02000000000000000000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322385</xdr:colOff>
      <xdr:row>932</xdr:row>
      <xdr:rowOff>52711</xdr:rowOff>
    </xdr:from>
    <xdr:to>
      <xdr:col>12</xdr:col>
      <xdr:colOff>0</xdr:colOff>
      <xdr:row>934</xdr:row>
      <xdr:rowOff>80211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CCC07F86-2904-4476-A928-588B451FB28F}"/>
            </a:ext>
          </a:extLst>
        </xdr:cNvPr>
        <xdr:cNvSpPr txBox="1"/>
      </xdr:nvSpPr>
      <xdr:spPr>
        <a:xfrm>
          <a:off x="910450" y="27078863"/>
          <a:ext cx="5790180" cy="39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CALLE AYACUCHO, CASA Nro 36, SECTOR CASCO CENTRAL. CABIMAS - EDO. ZULIA ZONA POSTAL 4013          </a:t>
          </a:r>
        </a:p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TELF.: (0264) 241.65.04 - E-MAIL: LLLIMPORTCA@GMAIL.COM</a:t>
          </a:r>
        </a:p>
      </xdr:txBody>
    </xdr:sp>
    <xdr:clientData/>
  </xdr:twoCellAnchor>
  <xdr:twoCellAnchor>
    <xdr:from>
      <xdr:col>2</xdr:col>
      <xdr:colOff>122464</xdr:colOff>
      <xdr:row>934</xdr:row>
      <xdr:rowOff>78241</xdr:rowOff>
    </xdr:from>
    <xdr:to>
      <xdr:col>11</xdr:col>
      <xdr:colOff>488156</xdr:colOff>
      <xdr:row>934</xdr:row>
      <xdr:rowOff>83343</xdr:rowOff>
    </xdr:to>
    <xdr:cxnSp macro="">
      <xdr:nvCxnSpPr>
        <xdr:cNvPr id="188" name="Straight Connector 187">
          <a:extLst>
            <a:ext uri="{FF2B5EF4-FFF2-40B4-BE49-F238E27FC236}">
              <a16:creationId xmlns:a16="http://schemas.microsoft.com/office/drawing/2014/main" id="{159108AE-35CB-421A-9C6F-D9F3928F817A}"/>
            </a:ext>
          </a:extLst>
        </xdr:cNvPr>
        <xdr:cNvCxnSpPr/>
      </xdr:nvCxnSpPr>
      <xdr:spPr>
        <a:xfrm>
          <a:off x="1240616" y="27468828"/>
          <a:ext cx="5360105" cy="510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119503</xdr:colOff>
      <xdr:row>934</xdr:row>
      <xdr:rowOff>32085</xdr:rowOff>
    </xdr:from>
    <xdr:to>
      <xdr:col>11</xdr:col>
      <xdr:colOff>482203</xdr:colOff>
      <xdr:row>934</xdr:row>
      <xdr:rowOff>35718</xdr:rowOff>
    </xdr:to>
    <xdr:cxnSp macro="">
      <xdr:nvCxnSpPr>
        <xdr:cNvPr id="189" name="Straight Connector 188">
          <a:extLst>
            <a:ext uri="{FF2B5EF4-FFF2-40B4-BE49-F238E27FC236}">
              <a16:creationId xmlns:a16="http://schemas.microsoft.com/office/drawing/2014/main" id="{530FB725-770E-4970-80F2-10D47009A1D5}"/>
            </a:ext>
          </a:extLst>
        </xdr:cNvPr>
        <xdr:cNvCxnSpPr/>
      </xdr:nvCxnSpPr>
      <xdr:spPr>
        <a:xfrm>
          <a:off x="1237655" y="27422672"/>
          <a:ext cx="5357113" cy="363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325589</xdr:colOff>
      <xdr:row>977</xdr:row>
      <xdr:rowOff>21979</xdr:rowOff>
    </xdr:from>
    <xdr:to>
      <xdr:col>11</xdr:col>
      <xdr:colOff>315515</xdr:colOff>
      <xdr:row>978</xdr:row>
      <xdr:rowOff>152948</xdr:rowOff>
    </xdr:to>
    <xdr:sp macro="" textlink="">
      <xdr:nvSpPr>
        <xdr:cNvPr id="190" name="Rectangle: Rounded Corners 189">
          <a:extLst>
            <a:ext uri="{FF2B5EF4-FFF2-40B4-BE49-F238E27FC236}">
              <a16:creationId xmlns:a16="http://schemas.microsoft.com/office/drawing/2014/main" id="{8DB406F8-1334-494A-AB16-2CF4D7264D7E}"/>
            </a:ext>
          </a:extLst>
        </xdr:cNvPr>
        <xdr:cNvSpPr/>
      </xdr:nvSpPr>
      <xdr:spPr>
        <a:xfrm>
          <a:off x="325589" y="35256196"/>
          <a:ext cx="6102491" cy="304904"/>
        </a:xfrm>
        <a:prstGeom prst="roundRect">
          <a:avLst/>
        </a:prstGeom>
        <a:noFill/>
        <a:ln w="2857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249115</xdr:colOff>
      <xdr:row>972</xdr:row>
      <xdr:rowOff>175846</xdr:rowOff>
    </xdr:from>
    <xdr:to>
      <xdr:col>4</xdr:col>
      <xdr:colOff>395654</xdr:colOff>
      <xdr:row>972</xdr:row>
      <xdr:rowOff>175846</xdr:rowOff>
    </xdr:to>
    <xdr:cxnSp macro="">
      <xdr:nvCxnSpPr>
        <xdr:cNvPr id="191" name="Straight Connector 190">
          <a:extLst>
            <a:ext uri="{FF2B5EF4-FFF2-40B4-BE49-F238E27FC236}">
              <a16:creationId xmlns:a16="http://schemas.microsoft.com/office/drawing/2014/main" id="{D78C0BAE-FFE5-4D84-BE6C-C0C012925322}"/>
            </a:ext>
          </a:extLst>
        </xdr:cNvPr>
        <xdr:cNvCxnSpPr/>
      </xdr:nvCxnSpPr>
      <xdr:spPr>
        <a:xfrm>
          <a:off x="1367267" y="34498976"/>
          <a:ext cx="1430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30088</xdr:colOff>
      <xdr:row>983</xdr:row>
      <xdr:rowOff>85396</xdr:rowOff>
    </xdr:from>
    <xdr:to>
      <xdr:col>3</xdr:col>
      <xdr:colOff>95779</xdr:colOff>
      <xdr:row>984</xdr:row>
      <xdr:rowOff>59122</xdr:rowOff>
    </xdr:to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F9ABE689-FB52-4DDB-84F3-44F5E299C8E3}"/>
            </a:ext>
          </a:extLst>
        </xdr:cNvPr>
        <xdr:cNvSpPr txBox="1"/>
      </xdr:nvSpPr>
      <xdr:spPr>
        <a:xfrm>
          <a:off x="1148240" y="36421200"/>
          <a:ext cx="736582" cy="1559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>
              <a:latin typeface="Arial" panose="020B0604020202020204" pitchFamily="34" charset="0"/>
              <a:cs typeface="Arial" panose="020B0604020202020204" pitchFamily="34" charset="0"/>
            </a:rPr>
            <a:t>J-40542036-0</a:t>
          </a:r>
        </a:p>
      </xdr:txBody>
    </xdr:sp>
    <xdr:clientData/>
  </xdr:twoCellAnchor>
  <xdr:twoCellAnchor>
    <xdr:from>
      <xdr:col>5</xdr:col>
      <xdr:colOff>974405</xdr:colOff>
      <xdr:row>985</xdr:row>
      <xdr:rowOff>13784</xdr:rowOff>
    </xdr:from>
    <xdr:to>
      <xdr:col>9</xdr:col>
      <xdr:colOff>156610</xdr:colOff>
      <xdr:row>987</xdr:row>
      <xdr:rowOff>29308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B97AD5C9-47E4-474E-B60A-3D823B18D87B}"/>
            </a:ext>
          </a:extLst>
        </xdr:cNvPr>
        <xdr:cNvSpPr txBox="1"/>
      </xdr:nvSpPr>
      <xdr:spPr>
        <a:xfrm>
          <a:off x="4014122" y="36714023"/>
          <a:ext cx="1045792" cy="3799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FORMA LIBRE</a:t>
          </a:r>
        </a:p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N° de Control</a:t>
          </a:r>
        </a:p>
      </xdr:txBody>
    </xdr:sp>
    <xdr:clientData/>
  </xdr:twoCellAnchor>
  <xdr:twoCellAnchor>
    <xdr:from>
      <xdr:col>9</xdr:col>
      <xdr:colOff>158514</xdr:colOff>
      <xdr:row>985</xdr:row>
      <xdr:rowOff>13671</xdr:rowOff>
    </xdr:from>
    <xdr:to>
      <xdr:col>10</xdr:col>
      <xdr:colOff>249114</xdr:colOff>
      <xdr:row>986</xdr:row>
      <xdr:rowOff>157430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06058D7F-0ED8-44BB-A5D9-F28A58014473}"/>
            </a:ext>
          </a:extLst>
        </xdr:cNvPr>
        <xdr:cNvSpPr txBox="1"/>
      </xdr:nvSpPr>
      <xdr:spPr>
        <a:xfrm>
          <a:off x="5061818" y="36713910"/>
          <a:ext cx="529579" cy="325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Arial" panose="020B0604020202020204" pitchFamily="34" charset="0"/>
              <a:ea typeface="Roboto" panose="02000000000000000000" pitchFamily="2" charset="0"/>
              <a:cs typeface="Arial" panose="020B0604020202020204" pitchFamily="34" charset="0"/>
            </a:rPr>
            <a:t>00-</a:t>
          </a:r>
          <a:endParaRPr lang="en-US" sz="1600">
            <a:solidFill>
              <a:srgbClr val="FF0000"/>
            </a:solidFill>
            <a:latin typeface="Arial" panose="020B0604020202020204" pitchFamily="34" charset="0"/>
            <a:ea typeface="Roboto" panose="02000000000000000000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322385</xdr:colOff>
      <xdr:row>981</xdr:row>
      <xdr:rowOff>52711</xdr:rowOff>
    </xdr:from>
    <xdr:to>
      <xdr:col>12</xdr:col>
      <xdr:colOff>0</xdr:colOff>
      <xdr:row>983</xdr:row>
      <xdr:rowOff>80211</xdr:rowOff>
    </xdr:to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EE8437B5-C066-4476-AB3D-B83116E4AF15}"/>
            </a:ext>
          </a:extLst>
        </xdr:cNvPr>
        <xdr:cNvSpPr txBox="1"/>
      </xdr:nvSpPr>
      <xdr:spPr>
        <a:xfrm>
          <a:off x="910450" y="36024081"/>
          <a:ext cx="5790180" cy="3919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CALLE AYACUCHO, CASA Nro 36, SECTOR CASCO CENTRAL. CABIMAS - EDO. ZULIA ZONA POSTAL 4013          </a:t>
          </a:r>
        </a:p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TELF.: (0264) 241.65.04 - E-MAIL: LLLIMPORTCA@GMAIL.COM</a:t>
          </a:r>
        </a:p>
      </xdr:txBody>
    </xdr:sp>
    <xdr:clientData/>
  </xdr:twoCellAnchor>
  <xdr:twoCellAnchor>
    <xdr:from>
      <xdr:col>2</xdr:col>
      <xdr:colOff>122464</xdr:colOff>
      <xdr:row>983</xdr:row>
      <xdr:rowOff>78241</xdr:rowOff>
    </xdr:from>
    <xdr:to>
      <xdr:col>11</xdr:col>
      <xdr:colOff>488156</xdr:colOff>
      <xdr:row>983</xdr:row>
      <xdr:rowOff>83343</xdr:rowOff>
    </xdr:to>
    <xdr:cxnSp macro="">
      <xdr:nvCxnSpPr>
        <xdr:cNvPr id="198" name="Straight Connector 197">
          <a:extLst>
            <a:ext uri="{FF2B5EF4-FFF2-40B4-BE49-F238E27FC236}">
              <a16:creationId xmlns:a16="http://schemas.microsoft.com/office/drawing/2014/main" id="{3F323801-EB90-4480-A125-D907007BE08B}"/>
            </a:ext>
          </a:extLst>
        </xdr:cNvPr>
        <xdr:cNvCxnSpPr/>
      </xdr:nvCxnSpPr>
      <xdr:spPr>
        <a:xfrm>
          <a:off x="1240616" y="36414045"/>
          <a:ext cx="5360105" cy="510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119503</xdr:colOff>
      <xdr:row>983</xdr:row>
      <xdr:rowOff>32085</xdr:rowOff>
    </xdr:from>
    <xdr:to>
      <xdr:col>11</xdr:col>
      <xdr:colOff>482203</xdr:colOff>
      <xdr:row>983</xdr:row>
      <xdr:rowOff>35718</xdr:rowOff>
    </xdr:to>
    <xdr:cxnSp macro="">
      <xdr:nvCxnSpPr>
        <xdr:cNvPr id="199" name="Straight Connector 198">
          <a:extLst>
            <a:ext uri="{FF2B5EF4-FFF2-40B4-BE49-F238E27FC236}">
              <a16:creationId xmlns:a16="http://schemas.microsoft.com/office/drawing/2014/main" id="{69653F8D-44D7-447F-B742-A7EA8B770D79}"/>
            </a:ext>
          </a:extLst>
        </xdr:cNvPr>
        <xdr:cNvCxnSpPr/>
      </xdr:nvCxnSpPr>
      <xdr:spPr>
        <a:xfrm>
          <a:off x="1237655" y="36367889"/>
          <a:ext cx="5357113" cy="363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325589</xdr:colOff>
      <xdr:row>1026</xdr:row>
      <xdr:rowOff>21979</xdr:rowOff>
    </xdr:from>
    <xdr:to>
      <xdr:col>11</xdr:col>
      <xdr:colOff>315515</xdr:colOff>
      <xdr:row>1027</xdr:row>
      <xdr:rowOff>152948</xdr:rowOff>
    </xdr:to>
    <xdr:sp macro="" textlink="">
      <xdr:nvSpPr>
        <xdr:cNvPr id="200" name="Rectangle: Rounded Corners 199">
          <a:extLst>
            <a:ext uri="{FF2B5EF4-FFF2-40B4-BE49-F238E27FC236}">
              <a16:creationId xmlns:a16="http://schemas.microsoft.com/office/drawing/2014/main" id="{EFA94DF1-6626-4476-A4AF-FD679616895A}"/>
            </a:ext>
          </a:extLst>
        </xdr:cNvPr>
        <xdr:cNvSpPr/>
      </xdr:nvSpPr>
      <xdr:spPr>
        <a:xfrm>
          <a:off x="325589" y="44201414"/>
          <a:ext cx="6102491" cy="304904"/>
        </a:xfrm>
        <a:prstGeom prst="roundRect">
          <a:avLst/>
        </a:prstGeom>
        <a:noFill/>
        <a:ln w="2857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249115</xdr:colOff>
      <xdr:row>1021</xdr:row>
      <xdr:rowOff>175846</xdr:rowOff>
    </xdr:from>
    <xdr:to>
      <xdr:col>4</xdr:col>
      <xdr:colOff>395654</xdr:colOff>
      <xdr:row>1021</xdr:row>
      <xdr:rowOff>175846</xdr:rowOff>
    </xdr:to>
    <xdr:cxnSp macro="">
      <xdr:nvCxnSpPr>
        <xdr:cNvPr id="201" name="Straight Connector 200">
          <a:extLst>
            <a:ext uri="{FF2B5EF4-FFF2-40B4-BE49-F238E27FC236}">
              <a16:creationId xmlns:a16="http://schemas.microsoft.com/office/drawing/2014/main" id="{04D16CEF-CE4E-400A-8DAB-CCD02B6DB5EF}"/>
            </a:ext>
          </a:extLst>
        </xdr:cNvPr>
        <xdr:cNvCxnSpPr/>
      </xdr:nvCxnSpPr>
      <xdr:spPr>
        <a:xfrm>
          <a:off x="1367267" y="43444194"/>
          <a:ext cx="1430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30088</xdr:colOff>
      <xdr:row>1032</xdr:row>
      <xdr:rowOff>85396</xdr:rowOff>
    </xdr:from>
    <xdr:to>
      <xdr:col>3</xdr:col>
      <xdr:colOff>95779</xdr:colOff>
      <xdr:row>1033</xdr:row>
      <xdr:rowOff>59122</xdr:rowOff>
    </xdr:to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CBEAA5B0-4545-4899-867C-B56C2DABE4F4}"/>
            </a:ext>
          </a:extLst>
        </xdr:cNvPr>
        <xdr:cNvSpPr txBox="1"/>
      </xdr:nvSpPr>
      <xdr:spPr>
        <a:xfrm>
          <a:off x="1148240" y="45366418"/>
          <a:ext cx="736582" cy="155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>
              <a:latin typeface="Arial" panose="020B0604020202020204" pitchFamily="34" charset="0"/>
              <a:cs typeface="Arial" panose="020B0604020202020204" pitchFamily="34" charset="0"/>
            </a:rPr>
            <a:t>J-40542036-0</a:t>
          </a:r>
        </a:p>
      </xdr:txBody>
    </xdr:sp>
    <xdr:clientData/>
  </xdr:twoCellAnchor>
  <xdr:twoCellAnchor>
    <xdr:from>
      <xdr:col>5</xdr:col>
      <xdr:colOff>974405</xdr:colOff>
      <xdr:row>1034</xdr:row>
      <xdr:rowOff>13784</xdr:rowOff>
    </xdr:from>
    <xdr:to>
      <xdr:col>9</xdr:col>
      <xdr:colOff>156610</xdr:colOff>
      <xdr:row>1036</xdr:row>
      <xdr:rowOff>29308</xdr:rowOff>
    </xdr:to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3203AA1A-C182-4D63-83A9-5B07077926DB}"/>
            </a:ext>
          </a:extLst>
        </xdr:cNvPr>
        <xdr:cNvSpPr txBox="1"/>
      </xdr:nvSpPr>
      <xdr:spPr>
        <a:xfrm>
          <a:off x="4014122" y="45659241"/>
          <a:ext cx="1045792" cy="37995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FORMA LIBRE</a:t>
          </a:r>
        </a:p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N° de Control</a:t>
          </a:r>
        </a:p>
      </xdr:txBody>
    </xdr:sp>
    <xdr:clientData/>
  </xdr:twoCellAnchor>
  <xdr:twoCellAnchor>
    <xdr:from>
      <xdr:col>9</xdr:col>
      <xdr:colOff>158514</xdr:colOff>
      <xdr:row>1034</xdr:row>
      <xdr:rowOff>13671</xdr:rowOff>
    </xdr:from>
    <xdr:to>
      <xdr:col>10</xdr:col>
      <xdr:colOff>249114</xdr:colOff>
      <xdr:row>1035</xdr:row>
      <xdr:rowOff>157430</xdr:rowOff>
    </xdr:to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C0814358-68BB-4BA8-9E35-A56BF54510B9}"/>
            </a:ext>
          </a:extLst>
        </xdr:cNvPr>
        <xdr:cNvSpPr txBox="1"/>
      </xdr:nvSpPr>
      <xdr:spPr>
        <a:xfrm>
          <a:off x="5061818" y="45659128"/>
          <a:ext cx="529579" cy="325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Arial" panose="020B0604020202020204" pitchFamily="34" charset="0"/>
              <a:ea typeface="Roboto" panose="02000000000000000000" pitchFamily="2" charset="0"/>
              <a:cs typeface="Arial" panose="020B0604020202020204" pitchFamily="34" charset="0"/>
            </a:rPr>
            <a:t>00-</a:t>
          </a:r>
          <a:endParaRPr lang="en-US" sz="1600">
            <a:solidFill>
              <a:srgbClr val="FF0000"/>
            </a:solidFill>
            <a:latin typeface="Arial" panose="020B0604020202020204" pitchFamily="34" charset="0"/>
            <a:ea typeface="Roboto" panose="02000000000000000000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322385</xdr:colOff>
      <xdr:row>1030</xdr:row>
      <xdr:rowOff>52711</xdr:rowOff>
    </xdr:from>
    <xdr:to>
      <xdr:col>12</xdr:col>
      <xdr:colOff>0</xdr:colOff>
      <xdr:row>1032</xdr:row>
      <xdr:rowOff>80211</xdr:rowOff>
    </xdr:to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770DD931-0BCE-40FD-8021-3AEEFF2D1357}"/>
            </a:ext>
          </a:extLst>
        </xdr:cNvPr>
        <xdr:cNvSpPr txBox="1"/>
      </xdr:nvSpPr>
      <xdr:spPr>
        <a:xfrm>
          <a:off x="910450" y="44969298"/>
          <a:ext cx="5790180" cy="39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CALLE AYACUCHO, CASA Nro 36, SECTOR CASCO CENTRAL. CABIMAS - EDO. ZULIA ZONA POSTAL 4013          </a:t>
          </a:r>
        </a:p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TELF.: (0264) 241.65.04 - E-MAIL: LLLIMPORTCA@GMAIL.COM</a:t>
          </a:r>
        </a:p>
      </xdr:txBody>
    </xdr:sp>
    <xdr:clientData/>
  </xdr:twoCellAnchor>
  <xdr:twoCellAnchor>
    <xdr:from>
      <xdr:col>2</xdr:col>
      <xdr:colOff>122464</xdr:colOff>
      <xdr:row>1032</xdr:row>
      <xdr:rowOff>78241</xdr:rowOff>
    </xdr:from>
    <xdr:to>
      <xdr:col>11</xdr:col>
      <xdr:colOff>488156</xdr:colOff>
      <xdr:row>1032</xdr:row>
      <xdr:rowOff>83343</xdr:rowOff>
    </xdr:to>
    <xdr:cxnSp macro="">
      <xdr:nvCxnSpPr>
        <xdr:cNvPr id="206" name="Straight Connector 205">
          <a:extLst>
            <a:ext uri="{FF2B5EF4-FFF2-40B4-BE49-F238E27FC236}">
              <a16:creationId xmlns:a16="http://schemas.microsoft.com/office/drawing/2014/main" id="{A00CBFF1-3483-4B81-B7F8-B19EB6B7657B}"/>
            </a:ext>
          </a:extLst>
        </xdr:cNvPr>
        <xdr:cNvCxnSpPr/>
      </xdr:nvCxnSpPr>
      <xdr:spPr>
        <a:xfrm>
          <a:off x="1240616" y="45359263"/>
          <a:ext cx="5360105" cy="510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119503</xdr:colOff>
      <xdr:row>1032</xdr:row>
      <xdr:rowOff>32085</xdr:rowOff>
    </xdr:from>
    <xdr:to>
      <xdr:col>11</xdr:col>
      <xdr:colOff>482203</xdr:colOff>
      <xdr:row>1032</xdr:row>
      <xdr:rowOff>35718</xdr:rowOff>
    </xdr:to>
    <xdr:cxnSp macro="">
      <xdr:nvCxnSpPr>
        <xdr:cNvPr id="207" name="Straight Connector 206">
          <a:extLst>
            <a:ext uri="{FF2B5EF4-FFF2-40B4-BE49-F238E27FC236}">
              <a16:creationId xmlns:a16="http://schemas.microsoft.com/office/drawing/2014/main" id="{C649C6CC-E198-4229-B26E-3FBAD41F6DE5}"/>
            </a:ext>
          </a:extLst>
        </xdr:cNvPr>
        <xdr:cNvCxnSpPr/>
      </xdr:nvCxnSpPr>
      <xdr:spPr>
        <a:xfrm>
          <a:off x="1237655" y="45313107"/>
          <a:ext cx="5357113" cy="363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325589</xdr:colOff>
      <xdr:row>1075</xdr:row>
      <xdr:rowOff>21979</xdr:rowOff>
    </xdr:from>
    <xdr:to>
      <xdr:col>11</xdr:col>
      <xdr:colOff>315515</xdr:colOff>
      <xdr:row>1076</xdr:row>
      <xdr:rowOff>152948</xdr:rowOff>
    </xdr:to>
    <xdr:sp macro="" textlink="">
      <xdr:nvSpPr>
        <xdr:cNvPr id="208" name="Rectangle: Rounded Corners 207">
          <a:extLst>
            <a:ext uri="{FF2B5EF4-FFF2-40B4-BE49-F238E27FC236}">
              <a16:creationId xmlns:a16="http://schemas.microsoft.com/office/drawing/2014/main" id="{439535E1-7084-421F-9A25-AFBF0554CB7F}"/>
            </a:ext>
          </a:extLst>
        </xdr:cNvPr>
        <xdr:cNvSpPr/>
      </xdr:nvSpPr>
      <xdr:spPr>
        <a:xfrm>
          <a:off x="325589" y="53146631"/>
          <a:ext cx="6102491" cy="304904"/>
        </a:xfrm>
        <a:prstGeom prst="roundRect">
          <a:avLst/>
        </a:prstGeom>
        <a:noFill/>
        <a:ln w="2857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249115</xdr:colOff>
      <xdr:row>1070</xdr:row>
      <xdr:rowOff>175846</xdr:rowOff>
    </xdr:from>
    <xdr:to>
      <xdr:col>4</xdr:col>
      <xdr:colOff>395654</xdr:colOff>
      <xdr:row>1070</xdr:row>
      <xdr:rowOff>175846</xdr:rowOff>
    </xdr:to>
    <xdr:cxnSp macro="">
      <xdr:nvCxnSpPr>
        <xdr:cNvPr id="209" name="Straight Connector 208">
          <a:extLst>
            <a:ext uri="{FF2B5EF4-FFF2-40B4-BE49-F238E27FC236}">
              <a16:creationId xmlns:a16="http://schemas.microsoft.com/office/drawing/2014/main" id="{550D68F8-FB51-4312-8B05-16DDD93C68C4}"/>
            </a:ext>
          </a:extLst>
        </xdr:cNvPr>
        <xdr:cNvCxnSpPr/>
      </xdr:nvCxnSpPr>
      <xdr:spPr>
        <a:xfrm>
          <a:off x="1367267" y="52389411"/>
          <a:ext cx="1430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30088</xdr:colOff>
      <xdr:row>1081</xdr:row>
      <xdr:rowOff>85396</xdr:rowOff>
    </xdr:from>
    <xdr:to>
      <xdr:col>3</xdr:col>
      <xdr:colOff>95779</xdr:colOff>
      <xdr:row>1082</xdr:row>
      <xdr:rowOff>59122</xdr:rowOff>
    </xdr:to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D78E30DE-552E-49E0-A2F4-E7F40FFAAA16}"/>
            </a:ext>
          </a:extLst>
        </xdr:cNvPr>
        <xdr:cNvSpPr txBox="1"/>
      </xdr:nvSpPr>
      <xdr:spPr>
        <a:xfrm>
          <a:off x="1148240" y="54311635"/>
          <a:ext cx="736582" cy="1559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>
              <a:latin typeface="Arial" panose="020B0604020202020204" pitchFamily="34" charset="0"/>
              <a:cs typeface="Arial" panose="020B0604020202020204" pitchFamily="34" charset="0"/>
            </a:rPr>
            <a:t>J-40542036-0</a:t>
          </a:r>
        </a:p>
      </xdr:txBody>
    </xdr:sp>
    <xdr:clientData/>
  </xdr:twoCellAnchor>
  <xdr:twoCellAnchor>
    <xdr:from>
      <xdr:col>5</xdr:col>
      <xdr:colOff>974405</xdr:colOff>
      <xdr:row>1083</xdr:row>
      <xdr:rowOff>13784</xdr:rowOff>
    </xdr:from>
    <xdr:to>
      <xdr:col>9</xdr:col>
      <xdr:colOff>156610</xdr:colOff>
      <xdr:row>1085</xdr:row>
      <xdr:rowOff>29308</xdr:rowOff>
    </xdr:to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717CA213-441B-43DB-AED3-5D764219928A}"/>
            </a:ext>
          </a:extLst>
        </xdr:cNvPr>
        <xdr:cNvSpPr txBox="1"/>
      </xdr:nvSpPr>
      <xdr:spPr>
        <a:xfrm>
          <a:off x="4014122" y="54604458"/>
          <a:ext cx="1045792" cy="3799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FORMA LIBRE</a:t>
          </a:r>
        </a:p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N° de Control</a:t>
          </a:r>
        </a:p>
      </xdr:txBody>
    </xdr:sp>
    <xdr:clientData/>
  </xdr:twoCellAnchor>
  <xdr:twoCellAnchor>
    <xdr:from>
      <xdr:col>9</xdr:col>
      <xdr:colOff>158514</xdr:colOff>
      <xdr:row>1083</xdr:row>
      <xdr:rowOff>13671</xdr:rowOff>
    </xdr:from>
    <xdr:to>
      <xdr:col>10</xdr:col>
      <xdr:colOff>249114</xdr:colOff>
      <xdr:row>1084</xdr:row>
      <xdr:rowOff>157430</xdr:rowOff>
    </xdr:to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2C404A3D-2F82-4F21-BF60-D3A0FAF2C252}"/>
            </a:ext>
          </a:extLst>
        </xdr:cNvPr>
        <xdr:cNvSpPr txBox="1"/>
      </xdr:nvSpPr>
      <xdr:spPr>
        <a:xfrm>
          <a:off x="5061818" y="54604345"/>
          <a:ext cx="529579" cy="325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Arial" panose="020B0604020202020204" pitchFamily="34" charset="0"/>
              <a:ea typeface="Roboto" panose="02000000000000000000" pitchFamily="2" charset="0"/>
              <a:cs typeface="Arial" panose="020B0604020202020204" pitchFamily="34" charset="0"/>
            </a:rPr>
            <a:t>00-</a:t>
          </a:r>
          <a:endParaRPr lang="en-US" sz="1600">
            <a:solidFill>
              <a:srgbClr val="FF0000"/>
            </a:solidFill>
            <a:latin typeface="Arial" panose="020B0604020202020204" pitchFamily="34" charset="0"/>
            <a:ea typeface="Roboto" panose="02000000000000000000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322385</xdr:colOff>
      <xdr:row>1079</xdr:row>
      <xdr:rowOff>52711</xdr:rowOff>
    </xdr:from>
    <xdr:to>
      <xdr:col>12</xdr:col>
      <xdr:colOff>0</xdr:colOff>
      <xdr:row>1081</xdr:row>
      <xdr:rowOff>80211</xdr:rowOff>
    </xdr:to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34093F3B-9AF2-4738-AD9C-C9F42DC08EE8}"/>
            </a:ext>
          </a:extLst>
        </xdr:cNvPr>
        <xdr:cNvSpPr txBox="1"/>
      </xdr:nvSpPr>
      <xdr:spPr>
        <a:xfrm>
          <a:off x="910450" y="53914515"/>
          <a:ext cx="5790180" cy="39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CALLE AYACUCHO, CASA Nro 36, SECTOR CASCO CENTRAL. CABIMAS - EDO. ZULIA ZONA POSTAL 4013          </a:t>
          </a:r>
        </a:p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TELF.: (0264) 241.65.04 - E-MAIL: LLLIMPORTCA@GMAIL.COM</a:t>
          </a:r>
        </a:p>
      </xdr:txBody>
    </xdr:sp>
    <xdr:clientData/>
  </xdr:twoCellAnchor>
  <xdr:twoCellAnchor>
    <xdr:from>
      <xdr:col>2</xdr:col>
      <xdr:colOff>122464</xdr:colOff>
      <xdr:row>1081</xdr:row>
      <xdr:rowOff>78241</xdr:rowOff>
    </xdr:from>
    <xdr:to>
      <xdr:col>11</xdr:col>
      <xdr:colOff>488156</xdr:colOff>
      <xdr:row>1081</xdr:row>
      <xdr:rowOff>83343</xdr:rowOff>
    </xdr:to>
    <xdr:cxnSp macro="">
      <xdr:nvCxnSpPr>
        <xdr:cNvPr id="214" name="Straight Connector 213">
          <a:extLst>
            <a:ext uri="{FF2B5EF4-FFF2-40B4-BE49-F238E27FC236}">
              <a16:creationId xmlns:a16="http://schemas.microsoft.com/office/drawing/2014/main" id="{B425807A-9232-4ECB-8919-E0890E125C60}"/>
            </a:ext>
          </a:extLst>
        </xdr:cNvPr>
        <xdr:cNvCxnSpPr/>
      </xdr:nvCxnSpPr>
      <xdr:spPr>
        <a:xfrm>
          <a:off x="1240616" y="54304480"/>
          <a:ext cx="5360105" cy="510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119503</xdr:colOff>
      <xdr:row>1081</xdr:row>
      <xdr:rowOff>32085</xdr:rowOff>
    </xdr:from>
    <xdr:to>
      <xdr:col>11</xdr:col>
      <xdr:colOff>482203</xdr:colOff>
      <xdr:row>1081</xdr:row>
      <xdr:rowOff>35718</xdr:rowOff>
    </xdr:to>
    <xdr:cxnSp macro="">
      <xdr:nvCxnSpPr>
        <xdr:cNvPr id="215" name="Straight Connector 214">
          <a:extLst>
            <a:ext uri="{FF2B5EF4-FFF2-40B4-BE49-F238E27FC236}">
              <a16:creationId xmlns:a16="http://schemas.microsoft.com/office/drawing/2014/main" id="{53CF90BF-2206-4582-89C3-D6A0B245EC7A}"/>
            </a:ext>
          </a:extLst>
        </xdr:cNvPr>
        <xdr:cNvCxnSpPr/>
      </xdr:nvCxnSpPr>
      <xdr:spPr>
        <a:xfrm>
          <a:off x="1237655" y="54258324"/>
          <a:ext cx="5357113" cy="363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325589</xdr:colOff>
      <xdr:row>1124</xdr:row>
      <xdr:rowOff>21979</xdr:rowOff>
    </xdr:from>
    <xdr:to>
      <xdr:col>11</xdr:col>
      <xdr:colOff>315515</xdr:colOff>
      <xdr:row>1125</xdr:row>
      <xdr:rowOff>152948</xdr:rowOff>
    </xdr:to>
    <xdr:sp macro="" textlink="">
      <xdr:nvSpPr>
        <xdr:cNvPr id="216" name="Rectangle: Rounded Corners 215">
          <a:extLst>
            <a:ext uri="{FF2B5EF4-FFF2-40B4-BE49-F238E27FC236}">
              <a16:creationId xmlns:a16="http://schemas.microsoft.com/office/drawing/2014/main" id="{E76AB426-814D-4DC9-BE19-0C6EF6D816AB}"/>
            </a:ext>
          </a:extLst>
        </xdr:cNvPr>
        <xdr:cNvSpPr/>
      </xdr:nvSpPr>
      <xdr:spPr>
        <a:xfrm>
          <a:off x="325589" y="62091849"/>
          <a:ext cx="6102491" cy="304903"/>
        </a:xfrm>
        <a:prstGeom prst="roundRect">
          <a:avLst/>
        </a:prstGeom>
        <a:noFill/>
        <a:ln w="2857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249115</xdr:colOff>
      <xdr:row>1119</xdr:row>
      <xdr:rowOff>175846</xdr:rowOff>
    </xdr:from>
    <xdr:to>
      <xdr:col>4</xdr:col>
      <xdr:colOff>395654</xdr:colOff>
      <xdr:row>1119</xdr:row>
      <xdr:rowOff>175846</xdr:rowOff>
    </xdr:to>
    <xdr:cxnSp macro="">
      <xdr:nvCxnSpPr>
        <xdr:cNvPr id="217" name="Straight Connector 216">
          <a:extLst>
            <a:ext uri="{FF2B5EF4-FFF2-40B4-BE49-F238E27FC236}">
              <a16:creationId xmlns:a16="http://schemas.microsoft.com/office/drawing/2014/main" id="{CCB2775D-02F0-4184-9D76-0C45A542718E}"/>
            </a:ext>
          </a:extLst>
        </xdr:cNvPr>
        <xdr:cNvCxnSpPr/>
      </xdr:nvCxnSpPr>
      <xdr:spPr>
        <a:xfrm>
          <a:off x="1367267" y="61334629"/>
          <a:ext cx="1430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30088</xdr:colOff>
      <xdr:row>1130</xdr:row>
      <xdr:rowOff>85396</xdr:rowOff>
    </xdr:from>
    <xdr:to>
      <xdr:col>3</xdr:col>
      <xdr:colOff>95779</xdr:colOff>
      <xdr:row>1131</xdr:row>
      <xdr:rowOff>59122</xdr:rowOff>
    </xdr:to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2852D2BE-B065-461D-A9A2-DA14AC2C2661}"/>
            </a:ext>
          </a:extLst>
        </xdr:cNvPr>
        <xdr:cNvSpPr txBox="1"/>
      </xdr:nvSpPr>
      <xdr:spPr>
        <a:xfrm>
          <a:off x="1148240" y="63256853"/>
          <a:ext cx="736582" cy="155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>
              <a:latin typeface="Arial" panose="020B0604020202020204" pitchFamily="34" charset="0"/>
              <a:cs typeface="Arial" panose="020B0604020202020204" pitchFamily="34" charset="0"/>
            </a:rPr>
            <a:t>J-40542036-0</a:t>
          </a:r>
        </a:p>
      </xdr:txBody>
    </xdr:sp>
    <xdr:clientData/>
  </xdr:twoCellAnchor>
  <xdr:twoCellAnchor>
    <xdr:from>
      <xdr:col>5</xdr:col>
      <xdr:colOff>974405</xdr:colOff>
      <xdr:row>1132</xdr:row>
      <xdr:rowOff>13784</xdr:rowOff>
    </xdr:from>
    <xdr:to>
      <xdr:col>9</xdr:col>
      <xdr:colOff>156610</xdr:colOff>
      <xdr:row>1134</xdr:row>
      <xdr:rowOff>29308</xdr:rowOff>
    </xdr:to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18492C23-2DF0-4CB5-A12D-FDB7282FEF94}"/>
            </a:ext>
          </a:extLst>
        </xdr:cNvPr>
        <xdr:cNvSpPr txBox="1"/>
      </xdr:nvSpPr>
      <xdr:spPr>
        <a:xfrm>
          <a:off x="4014122" y="63549675"/>
          <a:ext cx="1045792" cy="3799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FORMA LIBRE</a:t>
          </a:r>
        </a:p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N° de Control</a:t>
          </a:r>
        </a:p>
      </xdr:txBody>
    </xdr:sp>
    <xdr:clientData/>
  </xdr:twoCellAnchor>
  <xdr:twoCellAnchor>
    <xdr:from>
      <xdr:col>9</xdr:col>
      <xdr:colOff>158514</xdr:colOff>
      <xdr:row>1132</xdr:row>
      <xdr:rowOff>13671</xdr:rowOff>
    </xdr:from>
    <xdr:to>
      <xdr:col>10</xdr:col>
      <xdr:colOff>249114</xdr:colOff>
      <xdr:row>1133</xdr:row>
      <xdr:rowOff>157430</xdr:rowOff>
    </xdr:to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41A82631-9E08-48BD-94C7-4409CC5A8722}"/>
            </a:ext>
          </a:extLst>
        </xdr:cNvPr>
        <xdr:cNvSpPr txBox="1"/>
      </xdr:nvSpPr>
      <xdr:spPr>
        <a:xfrm>
          <a:off x="5061818" y="63549562"/>
          <a:ext cx="529579" cy="325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Arial" panose="020B0604020202020204" pitchFamily="34" charset="0"/>
              <a:ea typeface="Roboto" panose="02000000000000000000" pitchFamily="2" charset="0"/>
              <a:cs typeface="Arial" panose="020B0604020202020204" pitchFamily="34" charset="0"/>
            </a:rPr>
            <a:t>00-</a:t>
          </a:r>
          <a:endParaRPr lang="en-US" sz="1600">
            <a:solidFill>
              <a:srgbClr val="FF0000"/>
            </a:solidFill>
            <a:latin typeface="Arial" panose="020B0604020202020204" pitchFamily="34" charset="0"/>
            <a:ea typeface="Roboto" panose="02000000000000000000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322385</xdr:colOff>
      <xdr:row>1128</xdr:row>
      <xdr:rowOff>52711</xdr:rowOff>
    </xdr:from>
    <xdr:to>
      <xdr:col>12</xdr:col>
      <xdr:colOff>0</xdr:colOff>
      <xdr:row>1130</xdr:row>
      <xdr:rowOff>80211</xdr:rowOff>
    </xdr:to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023D9A5E-B5FE-41BF-B95A-DCEA444C840A}"/>
            </a:ext>
          </a:extLst>
        </xdr:cNvPr>
        <xdr:cNvSpPr txBox="1"/>
      </xdr:nvSpPr>
      <xdr:spPr>
        <a:xfrm>
          <a:off x="910450" y="62859733"/>
          <a:ext cx="5790180" cy="39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CALLE AYACUCHO, CASA Nro 36, SECTOR CASCO CENTRAL. CABIMAS - EDO. ZULIA ZONA POSTAL 4013          </a:t>
          </a:r>
        </a:p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TELF.: (0264) 241.65.04 - E-MAIL: LLLIMPORTCA@GMAIL.COM</a:t>
          </a:r>
        </a:p>
      </xdr:txBody>
    </xdr:sp>
    <xdr:clientData/>
  </xdr:twoCellAnchor>
  <xdr:twoCellAnchor>
    <xdr:from>
      <xdr:col>2</xdr:col>
      <xdr:colOff>122464</xdr:colOff>
      <xdr:row>1130</xdr:row>
      <xdr:rowOff>78241</xdr:rowOff>
    </xdr:from>
    <xdr:to>
      <xdr:col>11</xdr:col>
      <xdr:colOff>488156</xdr:colOff>
      <xdr:row>1130</xdr:row>
      <xdr:rowOff>83343</xdr:rowOff>
    </xdr:to>
    <xdr:cxnSp macro="">
      <xdr:nvCxnSpPr>
        <xdr:cNvPr id="222" name="Straight Connector 221">
          <a:extLst>
            <a:ext uri="{FF2B5EF4-FFF2-40B4-BE49-F238E27FC236}">
              <a16:creationId xmlns:a16="http://schemas.microsoft.com/office/drawing/2014/main" id="{5F00F7CE-7822-4D8C-A4E4-F22900466A9F}"/>
            </a:ext>
          </a:extLst>
        </xdr:cNvPr>
        <xdr:cNvCxnSpPr/>
      </xdr:nvCxnSpPr>
      <xdr:spPr>
        <a:xfrm>
          <a:off x="1240616" y="63249698"/>
          <a:ext cx="5360105" cy="510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119503</xdr:colOff>
      <xdr:row>1130</xdr:row>
      <xdr:rowOff>32085</xdr:rowOff>
    </xdr:from>
    <xdr:to>
      <xdr:col>11</xdr:col>
      <xdr:colOff>482203</xdr:colOff>
      <xdr:row>1130</xdr:row>
      <xdr:rowOff>35718</xdr:rowOff>
    </xdr:to>
    <xdr:cxnSp macro="">
      <xdr:nvCxnSpPr>
        <xdr:cNvPr id="223" name="Straight Connector 222">
          <a:extLst>
            <a:ext uri="{FF2B5EF4-FFF2-40B4-BE49-F238E27FC236}">
              <a16:creationId xmlns:a16="http://schemas.microsoft.com/office/drawing/2014/main" id="{3703838C-DB03-4475-AA8A-96E0340A8159}"/>
            </a:ext>
          </a:extLst>
        </xdr:cNvPr>
        <xdr:cNvCxnSpPr/>
      </xdr:nvCxnSpPr>
      <xdr:spPr>
        <a:xfrm>
          <a:off x="1237655" y="63203542"/>
          <a:ext cx="5357113" cy="363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325589</xdr:colOff>
      <xdr:row>1173</xdr:row>
      <xdr:rowOff>21979</xdr:rowOff>
    </xdr:from>
    <xdr:to>
      <xdr:col>11</xdr:col>
      <xdr:colOff>315515</xdr:colOff>
      <xdr:row>1174</xdr:row>
      <xdr:rowOff>152948</xdr:rowOff>
    </xdr:to>
    <xdr:sp macro="" textlink="">
      <xdr:nvSpPr>
        <xdr:cNvPr id="224" name="Rectangle: Rounded Corners 223">
          <a:extLst>
            <a:ext uri="{FF2B5EF4-FFF2-40B4-BE49-F238E27FC236}">
              <a16:creationId xmlns:a16="http://schemas.microsoft.com/office/drawing/2014/main" id="{9F3AB05E-86BF-4D55-898B-4AA5CA8A657B}"/>
            </a:ext>
          </a:extLst>
        </xdr:cNvPr>
        <xdr:cNvSpPr/>
      </xdr:nvSpPr>
      <xdr:spPr>
        <a:xfrm>
          <a:off x="325589" y="71037066"/>
          <a:ext cx="6102491" cy="304904"/>
        </a:xfrm>
        <a:prstGeom prst="roundRect">
          <a:avLst/>
        </a:prstGeom>
        <a:noFill/>
        <a:ln w="2857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249115</xdr:colOff>
      <xdr:row>1168</xdr:row>
      <xdr:rowOff>175846</xdr:rowOff>
    </xdr:from>
    <xdr:to>
      <xdr:col>4</xdr:col>
      <xdr:colOff>395654</xdr:colOff>
      <xdr:row>1168</xdr:row>
      <xdr:rowOff>175846</xdr:rowOff>
    </xdr:to>
    <xdr:cxnSp macro="">
      <xdr:nvCxnSpPr>
        <xdr:cNvPr id="225" name="Straight Connector 224">
          <a:extLst>
            <a:ext uri="{FF2B5EF4-FFF2-40B4-BE49-F238E27FC236}">
              <a16:creationId xmlns:a16="http://schemas.microsoft.com/office/drawing/2014/main" id="{D1AF933C-4D2C-4300-9AA2-A9AAA7FAD099}"/>
            </a:ext>
          </a:extLst>
        </xdr:cNvPr>
        <xdr:cNvCxnSpPr/>
      </xdr:nvCxnSpPr>
      <xdr:spPr>
        <a:xfrm>
          <a:off x="1367267" y="70279846"/>
          <a:ext cx="1430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30088</xdr:colOff>
      <xdr:row>1179</xdr:row>
      <xdr:rowOff>85396</xdr:rowOff>
    </xdr:from>
    <xdr:to>
      <xdr:col>3</xdr:col>
      <xdr:colOff>95779</xdr:colOff>
      <xdr:row>1180</xdr:row>
      <xdr:rowOff>59122</xdr:rowOff>
    </xdr:to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1BA83AF9-7511-4372-B232-D1AB99BEF2B9}"/>
            </a:ext>
          </a:extLst>
        </xdr:cNvPr>
        <xdr:cNvSpPr txBox="1"/>
      </xdr:nvSpPr>
      <xdr:spPr>
        <a:xfrm>
          <a:off x="1148240" y="72202070"/>
          <a:ext cx="736582" cy="155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>
              <a:latin typeface="Arial" panose="020B0604020202020204" pitchFamily="34" charset="0"/>
              <a:cs typeface="Arial" panose="020B0604020202020204" pitchFamily="34" charset="0"/>
            </a:rPr>
            <a:t>J-40542036-0</a:t>
          </a:r>
        </a:p>
      </xdr:txBody>
    </xdr:sp>
    <xdr:clientData/>
  </xdr:twoCellAnchor>
  <xdr:twoCellAnchor>
    <xdr:from>
      <xdr:col>5</xdr:col>
      <xdr:colOff>974405</xdr:colOff>
      <xdr:row>1181</xdr:row>
      <xdr:rowOff>13784</xdr:rowOff>
    </xdr:from>
    <xdr:to>
      <xdr:col>9</xdr:col>
      <xdr:colOff>156610</xdr:colOff>
      <xdr:row>1183</xdr:row>
      <xdr:rowOff>29308</xdr:rowOff>
    </xdr:to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8151376B-47FC-4E17-8FEF-996AAD19D290}"/>
            </a:ext>
          </a:extLst>
        </xdr:cNvPr>
        <xdr:cNvSpPr txBox="1"/>
      </xdr:nvSpPr>
      <xdr:spPr>
        <a:xfrm>
          <a:off x="4014122" y="72494893"/>
          <a:ext cx="1045792" cy="37995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FORMA LIBRE</a:t>
          </a:r>
        </a:p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N° de Control</a:t>
          </a:r>
        </a:p>
      </xdr:txBody>
    </xdr:sp>
    <xdr:clientData/>
  </xdr:twoCellAnchor>
  <xdr:twoCellAnchor>
    <xdr:from>
      <xdr:col>9</xdr:col>
      <xdr:colOff>158514</xdr:colOff>
      <xdr:row>1181</xdr:row>
      <xdr:rowOff>13671</xdr:rowOff>
    </xdr:from>
    <xdr:to>
      <xdr:col>10</xdr:col>
      <xdr:colOff>249114</xdr:colOff>
      <xdr:row>1182</xdr:row>
      <xdr:rowOff>157430</xdr:rowOff>
    </xdr:to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BF94644D-5347-4E9C-A0F1-1358C409FA2C}"/>
            </a:ext>
          </a:extLst>
        </xdr:cNvPr>
        <xdr:cNvSpPr txBox="1"/>
      </xdr:nvSpPr>
      <xdr:spPr>
        <a:xfrm>
          <a:off x="5061818" y="72494780"/>
          <a:ext cx="529579" cy="325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Arial" panose="020B0604020202020204" pitchFamily="34" charset="0"/>
              <a:ea typeface="Roboto" panose="02000000000000000000" pitchFamily="2" charset="0"/>
              <a:cs typeface="Arial" panose="020B0604020202020204" pitchFamily="34" charset="0"/>
            </a:rPr>
            <a:t>00-</a:t>
          </a:r>
          <a:endParaRPr lang="en-US" sz="1600">
            <a:solidFill>
              <a:srgbClr val="FF0000"/>
            </a:solidFill>
            <a:latin typeface="Arial" panose="020B0604020202020204" pitchFamily="34" charset="0"/>
            <a:ea typeface="Roboto" panose="02000000000000000000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322385</xdr:colOff>
      <xdr:row>1177</xdr:row>
      <xdr:rowOff>52711</xdr:rowOff>
    </xdr:from>
    <xdr:to>
      <xdr:col>12</xdr:col>
      <xdr:colOff>0</xdr:colOff>
      <xdr:row>1179</xdr:row>
      <xdr:rowOff>80211</xdr:rowOff>
    </xdr:to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45F58154-23E2-48EE-AB84-ED814DB332C0}"/>
            </a:ext>
          </a:extLst>
        </xdr:cNvPr>
        <xdr:cNvSpPr txBox="1"/>
      </xdr:nvSpPr>
      <xdr:spPr>
        <a:xfrm>
          <a:off x="910450" y="71804950"/>
          <a:ext cx="5790180" cy="39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CALLE AYACUCHO, CASA Nro 36, SECTOR CASCO CENTRAL. CABIMAS - EDO. ZULIA ZONA POSTAL 4013          </a:t>
          </a:r>
        </a:p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TELF.: (0264) 241.65.04 - E-MAIL: LLLIMPORTCA@GMAIL.COM</a:t>
          </a:r>
        </a:p>
      </xdr:txBody>
    </xdr:sp>
    <xdr:clientData/>
  </xdr:twoCellAnchor>
  <xdr:twoCellAnchor>
    <xdr:from>
      <xdr:col>2</xdr:col>
      <xdr:colOff>122464</xdr:colOff>
      <xdr:row>1179</xdr:row>
      <xdr:rowOff>78241</xdr:rowOff>
    </xdr:from>
    <xdr:to>
      <xdr:col>11</xdr:col>
      <xdr:colOff>488156</xdr:colOff>
      <xdr:row>1179</xdr:row>
      <xdr:rowOff>83343</xdr:rowOff>
    </xdr:to>
    <xdr:cxnSp macro="">
      <xdr:nvCxnSpPr>
        <xdr:cNvPr id="234" name="Straight Connector 233">
          <a:extLst>
            <a:ext uri="{FF2B5EF4-FFF2-40B4-BE49-F238E27FC236}">
              <a16:creationId xmlns:a16="http://schemas.microsoft.com/office/drawing/2014/main" id="{15A8E6E7-223E-4347-A50D-E06F40236805}"/>
            </a:ext>
          </a:extLst>
        </xdr:cNvPr>
        <xdr:cNvCxnSpPr/>
      </xdr:nvCxnSpPr>
      <xdr:spPr>
        <a:xfrm>
          <a:off x="1240616" y="72194915"/>
          <a:ext cx="5360105" cy="510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119503</xdr:colOff>
      <xdr:row>1179</xdr:row>
      <xdr:rowOff>32085</xdr:rowOff>
    </xdr:from>
    <xdr:to>
      <xdr:col>11</xdr:col>
      <xdr:colOff>482203</xdr:colOff>
      <xdr:row>1179</xdr:row>
      <xdr:rowOff>35718</xdr:rowOff>
    </xdr:to>
    <xdr:cxnSp macro="">
      <xdr:nvCxnSpPr>
        <xdr:cNvPr id="235" name="Straight Connector 234">
          <a:extLst>
            <a:ext uri="{FF2B5EF4-FFF2-40B4-BE49-F238E27FC236}">
              <a16:creationId xmlns:a16="http://schemas.microsoft.com/office/drawing/2014/main" id="{FA5B4E27-7484-4F9C-8688-F3B39B20538F}"/>
            </a:ext>
          </a:extLst>
        </xdr:cNvPr>
        <xdr:cNvCxnSpPr/>
      </xdr:nvCxnSpPr>
      <xdr:spPr>
        <a:xfrm>
          <a:off x="1237655" y="72148759"/>
          <a:ext cx="5357113" cy="363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325589</xdr:colOff>
      <xdr:row>1222</xdr:row>
      <xdr:rowOff>21979</xdr:rowOff>
    </xdr:from>
    <xdr:to>
      <xdr:col>11</xdr:col>
      <xdr:colOff>315515</xdr:colOff>
      <xdr:row>1223</xdr:row>
      <xdr:rowOff>152948</xdr:rowOff>
    </xdr:to>
    <xdr:sp macro="" textlink="">
      <xdr:nvSpPr>
        <xdr:cNvPr id="236" name="Rectangle: Rounded Corners 235">
          <a:extLst>
            <a:ext uri="{FF2B5EF4-FFF2-40B4-BE49-F238E27FC236}">
              <a16:creationId xmlns:a16="http://schemas.microsoft.com/office/drawing/2014/main" id="{25BB201A-4D0B-4A99-B22D-7A312D450C9F}"/>
            </a:ext>
          </a:extLst>
        </xdr:cNvPr>
        <xdr:cNvSpPr/>
      </xdr:nvSpPr>
      <xdr:spPr>
        <a:xfrm>
          <a:off x="325589" y="79982283"/>
          <a:ext cx="6102491" cy="304904"/>
        </a:xfrm>
        <a:prstGeom prst="roundRect">
          <a:avLst/>
        </a:prstGeom>
        <a:noFill/>
        <a:ln w="2857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249115</xdr:colOff>
      <xdr:row>1217</xdr:row>
      <xdr:rowOff>175846</xdr:rowOff>
    </xdr:from>
    <xdr:to>
      <xdr:col>4</xdr:col>
      <xdr:colOff>395654</xdr:colOff>
      <xdr:row>1217</xdr:row>
      <xdr:rowOff>175846</xdr:rowOff>
    </xdr:to>
    <xdr:cxnSp macro="">
      <xdr:nvCxnSpPr>
        <xdr:cNvPr id="237" name="Straight Connector 236">
          <a:extLst>
            <a:ext uri="{FF2B5EF4-FFF2-40B4-BE49-F238E27FC236}">
              <a16:creationId xmlns:a16="http://schemas.microsoft.com/office/drawing/2014/main" id="{294BAAE8-D5B6-4A47-A7D4-B4451DC6EF19}"/>
            </a:ext>
          </a:extLst>
        </xdr:cNvPr>
        <xdr:cNvCxnSpPr/>
      </xdr:nvCxnSpPr>
      <xdr:spPr>
        <a:xfrm>
          <a:off x="1367267" y="79225063"/>
          <a:ext cx="1430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30088</xdr:colOff>
      <xdr:row>1228</xdr:row>
      <xdr:rowOff>85396</xdr:rowOff>
    </xdr:from>
    <xdr:to>
      <xdr:col>3</xdr:col>
      <xdr:colOff>95779</xdr:colOff>
      <xdr:row>1229</xdr:row>
      <xdr:rowOff>59122</xdr:rowOff>
    </xdr:to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718A441C-9D78-4B12-B813-ADEB137EDD23}"/>
            </a:ext>
          </a:extLst>
        </xdr:cNvPr>
        <xdr:cNvSpPr txBox="1"/>
      </xdr:nvSpPr>
      <xdr:spPr>
        <a:xfrm>
          <a:off x="1148240" y="81147287"/>
          <a:ext cx="736582" cy="1559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>
              <a:latin typeface="Arial" panose="020B0604020202020204" pitchFamily="34" charset="0"/>
              <a:cs typeface="Arial" panose="020B0604020202020204" pitchFamily="34" charset="0"/>
            </a:rPr>
            <a:t>J-40542036-0</a:t>
          </a:r>
        </a:p>
      </xdr:txBody>
    </xdr:sp>
    <xdr:clientData/>
  </xdr:twoCellAnchor>
  <xdr:twoCellAnchor>
    <xdr:from>
      <xdr:col>5</xdr:col>
      <xdr:colOff>974405</xdr:colOff>
      <xdr:row>1230</xdr:row>
      <xdr:rowOff>13784</xdr:rowOff>
    </xdr:from>
    <xdr:to>
      <xdr:col>9</xdr:col>
      <xdr:colOff>156610</xdr:colOff>
      <xdr:row>1232</xdr:row>
      <xdr:rowOff>29308</xdr:rowOff>
    </xdr:to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CCD24CAC-4AC7-40F9-9CCE-44AF63E1EBD1}"/>
            </a:ext>
          </a:extLst>
        </xdr:cNvPr>
        <xdr:cNvSpPr txBox="1"/>
      </xdr:nvSpPr>
      <xdr:spPr>
        <a:xfrm>
          <a:off x="4014122" y="81440110"/>
          <a:ext cx="1045792" cy="3799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FORMA LIBRE</a:t>
          </a:r>
        </a:p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N° de Control</a:t>
          </a:r>
        </a:p>
      </xdr:txBody>
    </xdr:sp>
    <xdr:clientData/>
  </xdr:twoCellAnchor>
  <xdr:twoCellAnchor>
    <xdr:from>
      <xdr:col>9</xdr:col>
      <xdr:colOff>158514</xdr:colOff>
      <xdr:row>1230</xdr:row>
      <xdr:rowOff>13671</xdr:rowOff>
    </xdr:from>
    <xdr:to>
      <xdr:col>10</xdr:col>
      <xdr:colOff>249114</xdr:colOff>
      <xdr:row>1231</xdr:row>
      <xdr:rowOff>157430</xdr:rowOff>
    </xdr:to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BA742D06-D814-4F1A-833D-1F038AE3D06F}"/>
            </a:ext>
          </a:extLst>
        </xdr:cNvPr>
        <xdr:cNvSpPr txBox="1"/>
      </xdr:nvSpPr>
      <xdr:spPr>
        <a:xfrm>
          <a:off x="5061818" y="81439997"/>
          <a:ext cx="529579" cy="325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Arial" panose="020B0604020202020204" pitchFamily="34" charset="0"/>
              <a:ea typeface="Roboto" panose="02000000000000000000" pitchFamily="2" charset="0"/>
              <a:cs typeface="Arial" panose="020B0604020202020204" pitchFamily="34" charset="0"/>
            </a:rPr>
            <a:t>00-</a:t>
          </a:r>
          <a:endParaRPr lang="en-US" sz="1600">
            <a:solidFill>
              <a:srgbClr val="FF0000"/>
            </a:solidFill>
            <a:latin typeface="Arial" panose="020B0604020202020204" pitchFamily="34" charset="0"/>
            <a:ea typeface="Roboto" panose="02000000000000000000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322385</xdr:colOff>
      <xdr:row>1226</xdr:row>
      <xdr:rowOff>52711</xdr:rowOff>
    </xdr:from>
    <xdr:to>
      <xdr:col>12</xdr:col>
      <xdr:colOff>0</xdr:colOff>
      <xdr:row>1228</xdr:row>
      <xdr:rowOff>80211</xdr:rowOff>
    </xdr:to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FBFDEC6D-E9A4-4A10-BE09-353102CB1B56}"/>
            </a:ext>
          </a:extLst>
        </xdr:cNvPr>
        <xdr:cNvSpPr txBox="1"/>
      </xdr:nvSpPr>
      <xdr:spPr>
        <a:xfrm>
          <a:off x="910450" y="80750168"/>
          <a:ext cx="5790180" cy="3919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CALLE AYACUCHO, CASA Nro 36, SECTOR CASCO CENTRAL. CABIMAS - EDO. ZULIA ZONA POSTAL 4013          </a:t>
          </a:r>
        </a:p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TELF.: (0264) 241.65.04 - E-MAIL: LLLIMPORTCA@GMAIL.COM</a:t>
          </a:r>
        </a:p>
      </xdr:txBody>
    </xdr:sp>
    <xdr:clientData/>
  </xdr:twoCellAnchor>
  <xdr:twoCellAnchor>
    <xdr:from>
      <xdr:col>2</xdr:col>
      <xdr:colOff>122464</xdr:colOff>
      <xdr:row>1228</xdr:row>
      <xdr:rowOff>78241</xdr:rowOff>
    </xdr:from>
    <xdr:to>
      <xdr:col>11</xdr:col>
      <xdr:colOff>488156</xdr:colOff>
      <xdr:row>1228</xdr:row>
      <xdr:rowOff>83343</xdr:rowOff>
    </xdr:to>
    <xdr:cxnSp macro="">
      <xdr:nvCxnSpPr>
        <xdr:cNvPr id="242" name="Straight Connector 241">
          <a:extLst>
            <a:ext uri="{FF2B5EF4-FFF2-40B4-BE49-F238E27FC236}">
              <a16:creationId xmlns:a16="http://schemas.microsoft.com/office/drawing/2014/main" id="{FF3B33D1-7157-4E52-83C6-EBAF4EA3FA36}"/>
            </a:ext>
          </a:extLst>
        </xdr:cNvPr>
        <xdr:cNvCxnSpPr/>
      </xdr:nvCxnSpPr>
      <xdr:spPr>
        <a:xfrm>
          <a:off x="1240616" y="81140132"/>
          <a:ext cx="5360105" cy="510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119503</xdr:colOff>
      <xdr:row>1228</xdr:row>
      <xdr:rowOff>32085</xdr:rowOff>
    </xdr:from>
    <xdr:to>
      <xdr:col>11</xdr:col>
      <xdr:colOff>482203</xdr:colOff>
      <xdr:row>1228</xdr:row>
      <xdr:rowOff>35718</xdr:rowOff>
    </xdr:to>
    <xdr:cxnSp macro="">
      <xdr:nvCxnSpPr>
        <xdr:cNvPr id="243" name="Straight Connector 242">
          <a:extLst>
            <a:ext uri="{FF2B5EF4-FFF2-40B4-BE49-F238E27FC236}">
              <a16:creationId xmlns:a16="http://schemas.microsoft.com/office/drawing/2014/main" id="{D134883F-F6E9-4CE4-9F62-A421551EE20E}"/>
            </a:ext>
          </a:extLst>
        </xdr:cNvPr>
        <xdr:cNvCxnSpPr/>
      </xdr:nvCxnSpPr>
      <xdr:spPr>
        <a:xfrm>
          <a:off x="1237655" y="81093976"/>
          <a:ext cx="5357113" cy="363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325589</xdr:colOff>
      <xdr:row>1271</xdr:row>
      <xdr:rowOff>21979</xdr:rowOff>
    </xdr:from>
    <xdr:to>
      <xdr:col>11</xdr:col>
      <xdr:colOff>315515</xdr:colOff>
      <xdr:row>1272</xdr:row>
      <xdr:rowOff>152948</xdr:rowOff>
    </xdr:to>
    <xdr:sp macro="" textlink="">
      <xdr:nvSpPr>
        <xdr:cNvPr id="244" name="Rectangle: Rounded Corners 243">
          <a:extLst>
            <a:ext uri="{FF2B5EF4-FFF2-40B4-BE49-F238E27FC236}">
              <a16:creationId xmlns:a16="http://schemas.microsoft.com/office/drawing/2014/main" id="{1A17DBE7-4308-48B8-AF60-C2A27FE71135}"/>
            </a:ext>
          </a:extLst>
        </xdr:cNvPr>
        <xdr:cNvSpPr/>
      </xdr:nvSpPr>
      <xdr:spPr>
        <a:xfrm>
          <a:off x="325589" y="88927501"/>
          <a:ext cx="6102491" cy="304904"/>
        </a:xfrm>
        <a:prstGeom prst="roundRect">
          <a:avLst/>
        </a:prstGeom>
        <a:noFill/>
        <a:ln w="2857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249115</xdr:colOff>
      <xdr:row>1266</xdr:row>
      <xdr:rowOff>175846</xdr:rowOff>
    </xdr:from>
    <xdr:to>
      <xdr:col>4</xdr:col>
      <xdr:colOff>395654</xdr:colOff>
      <xdr:row>1266</xdr:row>
      <xdr:rowOff>175846</xdr:rowOff>
    </xdr:to>
    <xdr:cxnSp macro="">
      <xdr:nvCxnSpPr>
        <xdr:cNvPr id="245" name="Straight Connector 244">
          <a:extLst>
            <a:ext uri="{FF2B5EF4-FFF2-40B4-BE49-F238E27FC236}">
              <a16:creationId xmlns:a16="http://schemas.microsoft.com/office/drawing/2014/main" id="{569A9525-87C2-4F87-BDAB-8BD2470E9A5A}"/>
            </a:ext>
          </a:extLst>
        </xdr:cNvPr>
        <xdr:cNvCxnSpPr/>
      </xdr:nvCxnSpPr>
      <xdr:spPr>
        <a:xfrm>
          <a:off x="1367267" y="88170281"/>
          <a:ext cx="1430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30088</xdr:colOff>
      <xdr:row>1277</xdr:row>
      <xdr:rowOff>85396</xdr:rowOff>
    </xdr:from>
    <xdr:to>
      <xdr:col>3</xdr:col>
      <xdr:colOff>95779</xdr:colOff>
      <xdr:row>1278</xdr:row>
      <xdr:rowOff>59122</xdr:rowOff>
    </xdr:to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4548112F-635E-4616-B49D-C2553D641BEA}"/>
            </a:ext>
          </a:extLst>
        </xdr:cNvPr>
        <xdr:cNvSpPr txBox="1"/>
      </xdr:nvSpPr>
      <xdr:spPr>
        <a:xfrm>
          <a:off x="1148240" y="90092505"/>
          <a:ext cx="736582" cy="155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>
              <a:latin typeface="Arial" panose="020B0604020202020204" pitchFamily="34" charset="0"/>
              <a:cs typeface="Arial" panose="020B0604020202020204" pitchFamily="34" charset="0"/>
            </a:rPr>
            <a:t>J-40542036-0</a:t>
          </a:r>
        </a:p>
      </xdr:txBody>
    </xdr:sp>
    <xdr:clientData/>
  </xdr:twoCellAnchor>
  <xdr:twoCellAnchor>
    <xdr:from>
      <xdr:col>5</xdr:col>
      <xdr:colOff>974405</xdr:colOff>
      <xdr:row>1279</xdr:row>
      <xdr:rowOff>13784</xdr:rowOff>
    </xdr:from>
    <xdr:to>
      <xdr:col>9</xdr:col>
      <xdr:colOff>156610</xdr:colOff>
      <xdr:row>1281</xdr:row>
      <xdr:rowOff>29308</xdr:rowOff>
    </xdr:to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52C3D7B1-AB64-4FAD-B22C-0A3AD63F3F2B}"/>
            </a:ext>
          </a:extLst>
        </xdr:cNvPr>
        <xdr:cNvSpPr txBox="1"/>
      </xdr:nvSpPr>
      <xdr:spPr>
        <a:xfrm>
          <a:off x="4014122" y="90385327"/>
          <a:ext cx="1045792" cy="3799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FORMA LIBRE</a:t>
          </a:r>
        </a:p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N° de Control</a:t>
          </a:r>
        </a:p>
      </xdr:txBody>
    </xdr:sp>
    <xdr:clientData/>
  </xdr:twoCellAnchor>
  <xdr:twoCellAnchor>
    <xdr:from>
      <xdr:col>9</xdr:col>
      <xdr:colOff>158514</xdr:colOff>
      <xdr:row>1279</xdr:row>
      <xdr:rowOff>13671</xdr:rowOff>
    </xdr:from>
    <xdr:to>
      <xdr:col>10</xdr:col>
      <xdr:colOff>249114</xdr:colOff>
      <xdr:row>1280</xdr:row>
      <xdr:rowOff>157430</xdr:rowOff>
    </xdr:to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94A59863-6D90-49A7-B486-9663260E863E}"/>
            </a:ext>
          </a:extLst>
        </xdr:cNvPr>
        <xdr:cNvSpPr txBox="1"/>
      </xdr:nvSpPr>
      <xdr:spPr>
        <a:xfrm>
          <a:off x="5061818" y="90385214"/>
          <a:ext cx="529579" cy="325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Arial" panose="020B0604020202020204" pitchFamily="34" charset="0"/>
              <a:ea typeface="Roboto" panose="02000000000000000000" pitchFamily="2" charset="0"/>
              <a:cs typeface="Arial" panose="020B0604020202020204" pitchFamily="34" charset="0"/>
            </a:rPr>
            <a:t>00-</a:t>
          </a:r>
          <a:endParaRPr lang="en-US" sz="1600">
            <a:solidFill>
              <a:srgbClr val="FF0000"/>
            </a:solidFill>
            <a:latin typeface="Arial" panose="020B0604020202020204" pitchFamily="34" charset="0"/>
            <a:ea typeface="Roboto" panose="02000000000000000000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322385</xdr:colOff>
      <xdr:row>1275</xdr:row>
      <xdr:rowOff>52711</xdr:rowOff>
    </xdr:from>
    <xdr:to>
      <xdr:col>12</xdr:col>
      <xdr:colOff>0</xdr:colOff>
      <xdr:row>1277</xdr:row>
      <xdr:rowOff>80211</xdr:rowOff>
    </xdr:to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78E94F74-1A15-457E-AA30-7405840741DE}"/>
            </a:ext>
          </a:extLst>
        </xdr:cNvPr>
        <xdr:cNvSpPr txBox="1"/>
      </xdr:nvSpPr>
      <xdr:spPr>
        <a:xfrm>
          <a:off x="910450" y="89695385"/>
          <a:ext cx="5790180" cy="39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CALLE AYACUCHO, CASA Nro 36, SECTOR CASCO CENTRAL. CABIMAS - EDO. ZULIA ZONA POSTAL 4013          </a:t>
          </a:r>
        </a:p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TELF.: (0264) 241.65.04 - E-MAIL: LLLIMPORTCA@GMAIL.COM</a:t>
          </a:r>
        </a:p>
      </xdr:txBody>
    </xdr:sp>
    <xdr:clientData/>
  </xdr:twoCellAnchor>
  <xdr:twoCellAnchor>
    <xdr:from>
      <xdr:col>2</xdr:col>
      <xdr:colOff>122464</xdr:colOff>
      <xdr:row>1277</xdr:row>
      <xdr:rowOff>78241</xdr:rowOff>
    </xdr:from>
    <xdr:to>
      <xdr:col>11</xdr:col>
      <xdr:colOff>488156</xdr:colOff>
      <xdr:row>1277</xdr:row>
      <xdr:rowOff>83343</xdr:rowOff>
    </xdr:to>
    <xdr:cxnSp macro="">
      <xdr:nvCxnSpPr>
        <xdr:cNvPr id="250" name="Straight Connector 249">
          <a:extLst>
            <a:ext uri="{FF2B5EF4-FFF2-40B4-BE49-F238E27FC236}">
              <a16:creationId xmlns:a16="http://schemas.microsoft.com/office/drawing/2014/main" id="{900AF5E4-5372-4218-970D-E28A42324CCE}"/>
            </a:ext>
          </a:extLst>
        </xdr:cNvPr>
        <xdr:cNvCxnSpPr/>
      </xdr:nvCxnSpPr>
      <xdr:spPr>
        <a:xfrm>
          <a:off x="1240616" y="90085350"/>
          <a:ext cx="5360105" cy="510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119503</xdr:colOff>
      <xdr:row>1277</xdr:row>
      <xdr:rowOff>32085</xdr:rowOff>
    </xdr:from>
    <xdr:to>
      <xdr:col>11</xdr:col>
      <xdr:colOff>482203</xdr:colOff>
      <xdr:row>1277</xdr:row>
      <xdr:rowOff>35718</xdr:rowOff>
    </xdr:to>
    <xdr:cxnSp macro="">
      <xdr:nvCxnSpPr>
        <xdr:cNvPr id="251" name="Straight Connector 250">
          <a:extLst>
            <a:ext uri="{FF2B5EF4-FFF2-40B4-BE49-F238E27FC236}">
              <a16:creationId xmlns:a16="http://schemas.microsoft.com/office/drawing/2014/main" id="{B475372E-1574-49AD-BCAF-C1273618DE74}"/>
            </a:ext>
          </a:extLst>
        </xdr:cNvPr>
        <xdr:cNvCxnSpPr/>
      </xdr:nvCxnSpPr>
      <xdr:spPr>
        <a:xfrm>
          <a:off x="1237655" y="90039194"/>
          <a:ext cx="5357113" cy="363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325589</xdr:colOff>
      <xdr:row>1320</xdr:row>
      <xdr:rowOff>21979</xdr:rowOff>
    </xdr:from>
    <xdr:to>
      <xdr:col>11</xdr:col>
      <xdr:colOff>315515</xdr:colOff>
      <xdr:row>1321</xdr:row>
      <xdr:rowOff>152948</xdr:rowOff>
    </xdr:to>
    <xdr:sp macro="" textlink="">
      <xdr:nvSpPr>
        <xdr:cNvPr id="252" name="Rectangle: Rounded Corners 251">
          <a:extLst>
            <a:ext uri="{FF2B5EF4-FFF2-40B4-BE49-F238E27FC236}">
              <a16:creationId xmlns:a16="http://schemas.microsoft.com/office/drawing/2014/main" id="{168D847E-58A0-4076-8EDE-CAC4B230D2D2}"/>
            </a:ext>
          </a:extLst>
        </xdr:cNvPr>
        <xdr:cNvSpPr/>
      </xdr:nvSpPr>
      <xdr:spPr>
        <a:xfrm>
          <a:off x="325589" y="97872718"/>
          <a:ext cx="6102491" cy="304904"/>
        </a:xfrm>
        <a:prstGeom prst="roundRect">
          <a:avLst/>
        </a:prstGeom>
        <a:noFill/>
        <a:ln w="2857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249115</xdr:colOff>
      <xdr:row>1315</xdr:row>
      <xdr:rowOff>175846</xdr:rowOff>
    </xdr:from>
    <xdr:to>
      <xdr:col>4</xdr:col>
      <xdr:colOff>395654</xdr:colOff>
      <xdr:row>1315</xdr:row>
      <xdr:rowOff>175846</xdr:rowOff>
    </xdr:to>
    <xdr:cxnSp macro="">
      <xdr:nvCxnSpPr>
        <xdr:cNvPr id="253" name="Straight Connector 252">
          <a:extLst>
            <a:ext uri="{FF2B5EF4-FFF2-40B4-BE49-F238E27FC236}">
              <a16:creationId xmlns:a16="http://schemas.microsoft.com/office/drawing/2014/main" id="{1167F1F5-7480-40B8-B1A0-025AEF574FBA}"/>
            </a:ext>
          </a:extLst>
        </xdr:cNvPr>
        <xdr:cNvCxnSpPr/>
      </xdr:nvCxnSpPr>
      <xdr:spPr>
        <a:xfrm>
          <a:off x="1367267" y="97115498"/>
          <a:ext cx="1430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30088</xdr:colOff>
      <xdr:row>1326</xdr:row>
      <xdr:rowOff>85396</xdr:rowOff>
    </xdr:from>
    <xdr:to>
      <xdr:col>3</xdr:col>
      <xdr:colOff>95779</xdr:colOff>
      <xdr:row>1327</xdr:row>
      <xdr:rowOff>59122</xdr:rowOff>
    </xdr:to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227361ED-D7A5-4BBF-9446-D5B47B05E790}"/>
            </a:ext>
          </a:extLst>
        </xdr:cNvPr>
        <xdr:cNvSpPr txBox="1"/>
      </xdr:nvSpPr>
      <xdr:spPr>
        <a:xfrm>
          <a:off x="1148240" y="99037722"/>
          <a:ext cx="736582" cy="155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>
              <a:latin typeface="Arial" panose="020B0604020202020204" pitchFamily="34" charset="0"/>
              <a:cs typeface="Arial" panose="020B0604020202020204" pitchFamily="34" charset="0"/>
            </a:rPr>
            <a:t>J-40542036-0</a:t>
          </a:r>
        </a:p>
      </xdr:txBody>
    </xdr:sp>
    <xdr:clientData/>
  </xdr:twoCellAnchor>
  <xdr:twoCellAnchor>
    <xdr:from>
      <xdr:col>5</xdr:col>
      <xdr:colOff>974405</xdr:colOff>
      <xdr:row>1328</xdr:row>
      <xdr:rowOff>13784</xdr:rowOff>
    </xdr:from>
    <xdr:to>
      <xdr:col>9</xdr:col>
      <xdr:colOff>156610</xdr:colOff>
      <xdr:row>1330</xdr:row>
      <xdr:rowOff>29308</xdr:rowOff>
    </xdr:to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D401705D-9D9D-4B7C-9099-CAF7D5352D91}"/>
            </a:ext>
          </a:extLst>
        </xdr:cNvPr>
        <xdr:cNvSpPr txBox="1"/>
      </xdr:nvSpPr>
      <xdr:spPr>
        <a:xfrm>
          <a:off x="4014122" y="99330545"/>
          <a:ext cx="1045792" cy="3799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FORMA LIBRE</a:t>
          </a:r>
        </a:p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N° de Control</a:t>
          </a:r>
        </a:p>
      </xdr:txBody>
    </xdr:sp>
    <xdr:clientData/>
  </xdr:twoCellAnchor>
  <xdr:twoCellAnchor>
    <xdr:from>
      <xdr:col>9</xdr:col>
      <xdr:colOff>158514</xdr:colOff>
      <xdr:row>1328</xdr:row>
      <xdr:rowOff>13671</xdr:rowOff>
    </xdr:from>
    <xdr:to>
      <xdr:col>10</xdr:col>
      <xdr:colOff>249114</xdr:colOff>
      <xdr:row>1329</xdr:row>
      <xdr:rowOff>157430</xdr:rowOff>
    </xdr:to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814AE3FB-4A58-46A4-8936-5151315B5057}"/>
            </a:ext>
          </a:extLst>
        </xdr:cNvPr>
        <xdr:cNvSpPr txBox="1"/>
      </xdr:nvSpPr>
      <xdr:spPr>
        <a:xfrm>
          <a:off x="5061818" y="99330432"/>
          <a:ext cx="529579" cy="325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Arial" panose="020B0604020202020204" pitchFamily="34" charset="0"/>
              <a:ea typeface="Roboto" panose="02000000000000000000" pitchFamily="2" charset="0"/>
              <a:cs typeface="Arial" panose="020B0604020202020204" pitchFamily="34" charset="0"/>
            </a:rPr>
            <a:t>00-</a:t>
          </a:r>
          <a:endParaRPr lang="en-US" sz="1600">
            <a:solidFill>
              <a:srgbClr val="FF0000"/>
            </a:solidFill>
            <a:latin typeface="Arial" panose="020B0604020202020204" pitchFamily="34" charset="0"/>
            <a:ea typeface="Roboto" panose="02000000000000000000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322385</xdr:colOff>
      <xdr:row>1324</xdr:row>
      <xdr:rowOff>52711</xdr:rowOff>
    </xdr:from>
    <xdr:to>
      <xdr:col>12</xdr:col>
      <xdr:colOff>0</xdr:colOff>
      <xdr:row>1326</xdr:row>
      <xdr:rowOff>80211</xdr:rowOff>
    </xdr:to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36FE60E4-5304-471B-99EF-553DE3833B12}"/>
            </a:ext>
          </a:extLst>
        </xdr:cNvPr>
        <xdr:cNvSpPr txBox="1"/>
      </xdr:nvSpPr>
      <xdr:spPr>
        <a:xfrm>
          <a:off x="910450" y="98640602"/>
          <a:ext cx="5790180" cy="39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CALLE AYACUCHO, CASA Nro 36, SECTOR CASCO CENTRAL. CABIMAS - EDO. ZULIA ZONA POSTAL 4013          </a:t>
          </a:r>
        </a:p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TELF.: (0264) 241.65.04 - E-MAIL: LLLIMPORTCA@GMAIL.COM</a:t>
          </a:r>
        </a:p>
      </xdr:txBody>
    </xdr:sp>
    <xdr:clientData/>
  </xdr:twoCellAnchor>
  <xdr:twoCellAnchor>
    <xdr:from>
      <xdr:col>2</xdr:col>
      <xdr:colOff>122464</xdr:colOff>
      <xdr:row>1326</xdr:row>
      <xdr:rowOff>78241</xdr:rowOff>
    </xdr:from>
    <xdr:to>
      <xdr:col>11</xdr:col>
      <xdr:colOff>488156</xdr:colOff>
      <xdr:row>1326</xdr:row>
      <xdr:rowOff>83343</xdr:rowOff>
    </xdr:to>
    <xdr:cxnSp macro="">
      <xdr:nvCxnSpPr>
        <xdr:cNvPr id="258" name="Straight Connector 257">
          <a:extLst>
            <a:ext uri="{FF2B5EF4-FFF2-40B4-BE49-F238E27FC236}">
              <a16:creationId xmlns:a16="http://schemas.microsoft.com/office/drawing/2014/main" id="{5D0FA020-1CEC-4140-A548-592004009DF1}"/>
            </a:ext>
          </a:extLst>
        </xdr:cNvPr>
        <xdr:cNvCxnSpPr/>
      </xdr:nvCxnSpPr>
      <xdr:spPr>
        <a:xfrm>
          <a:off x="1240616" y="99030567"/>
          <a:ext cx="5360105" cy="510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119503</xdr:colOff>
      <xdr:row>1326</xdr:row>
      <xdr:rowOff>32085</xdr:rowOff>
    </xdr:from>
    <xdr:to>
      <xdr:col>11</xdr:col>
      <xdr:colOff>482203</xdr:colOff>
      <xdr:row>1326</xdr:row>
      <xdr:rowOff>35718</xdr:rowOff>
    </xdr:to>
    <xdr:cxnSp macro="">
      <xdr:nvCxnSpPr>
        <xdr:cNvPr id="259" name="Straight Connector 258">
          <a:extLst>
            <a:ext uri="{FF2B5EF4-FFF2-40B4-BE49-F238E27FC236}">
              <a16:creationId xmlns:a16="http://schemas.microsoft.com/office/drawing/2014/main" id="{FAF297B5-7352-4FC3-86D6-7E6580BB32E8}"/>
            </a:ext>
          </a:extLst>
        </xdr:cNvPr>
        <xdr:cNvCxnSpPr/>
      </xdr:nvCxnSpPr>
      <xdr:spPr>
        <a:xfrm>
          <a:off x="1237655" y="98984411"/>
          <a:ext cx="5357113" cy="363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325589</xdr:colOff>
      <xdr:row>1369</xdr:row>
      <xdr:rowOff>21979</xdr:rowOff>
    </xdr:from>
    <xdr:to>
      <xdr:col>11</xdr:col>
      <xdr:colOff>315515</xdr:colOff>
      <xdr:row>1370</xdr:row>
      <xdr:rowOff>152948</xdr:rowOff>
    </xdr:to>
    <xdr:sp macro="" textlink="">
      <xdr:nvSpPr>
        <xdr:cNvPr id="260" name="Rectangle: Rounded Corners 259">
          <a:extLst>
            <a:ext uri="{FF2B5EF4-FFF2-40B4-BE49-F238E27FC236}">
              <a16:creationId xmlns:a16="http://schemas.microsoft.com/office/drawing/2014/main" id="{52F63A37-2995-4569-AD77-92254610A8D8}"/>
            </a:ext>
          </a:extLst>
        </xdr:cNvPr>
        <xdr:cNvSpPr/>
      </xdr:nvSpPr>
      <xdr:spPr>
        <a:xfrm>
          <a:off x="325589" y="106817936"/>
          <a:ext cx="6102491" cy="304903"/>
        </a:xfrm>
        <a:prstGeom prst="roundRect">
          <a:avLst/>
        </a:prstGeom>
        <a:noFill/>
        <a:ln w="2857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249115</xdr:colOff>
      <xdr:row>1364</xdr:row>
      <xdr:rowOff>175846</xdr:rowOff>
    </xdr:from>
    <xdr:to>
      <xdr:col>4</xdr:col>
      <xdr:colOff>395654</xdr:colOff>
      <xdr:row>1364</xdr:row>
      <xdr:rowOff>175846</xdr:rowOff>
    </xdr:to>
    <xdr:cxnSp macro="">
      <xdr:nvCxnSpPr>
        <xdr:cNvPr id="261" name="Straight Connector 260">
          <a:extLst>
            <a:ext uri="{FF2B5EF4-FFF2-40B4-BE49-F238E27FC236}">
              <a16:creationId xmlns:a16="http://schemas.microsoft.com/office/drawing/2014/main" id="{697F5EEA-4B03-4600-8E62-4B7CD3816D44}"/>
            </a:ext>
          </a:extLst>
        </xdr:cNvPr>
        <xdr:cNvCxnSpPr/>
      </xdr:nvCxnSpPr>
      <xdr:spPr>
        <a:xfrm>
          <a:off x="1367267" y="106060716"/>
          <a:ext cx="1430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30088</xdr:colOff>
      <xdr:row>1375</xdr:row>
      <xdr:rowOff>85396</xdr:rowOff>
    </xdr:from>
    <xdr:to>
      <xdr:col>3</xdr:col>
      <xdr:colOff>95779</xdr:colOff>
      <xdr:row>1376</xdr:row>
      <xdr:rowOff>59122</xdr:rowOff>
    </xdr:to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AFD30E50-FFAF-41AB-945D-2052AA6D447F}"/>
            </a:ext>
          </a:extLst>
        </xdr:cNvPr>
        <xdr:cNvSpPr txBox="1"/>
      </xdr:nvSpPr>
      <xdr:spPr>
        <a:xfrm>
          <a:off x="1148240" y="107982939"/>
          <a:ext cx="736582" cy="1559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>
              <a:latin typeface="Arial" panose="020B0604020202020204" pitchFamily="34" charset="0"/>
              <a:cs typeface="Arial" panose="020B0604020202020204" pitchFamily="34" charset="0"/>
            </a:rPr>
            <a:t>J-40542036-0</a:t>
          </a:r>
        </a:p>
      </xdr:txBody>
    </xdr:sp>
    <xdr:clientData/>
  </xdr:twoCellAnchor>
  <xdr:twoCellAnchor>
    <xdr:from>
      <xdr:col>5</xdr:col>
      <xdr:colOff>974405</xdr:colOff>
      <xdr:row>1377</xdr:row>
      <xdr:rowOff>13784</xdr:rowOff>
    </xdr:from>
    <xdr:to>
      <xdr:col>9</xdr:col>
      <xdr:colOff>156610</xdr:colOff>
      <xdr:row>1379</xdr:row>
      <xdr:rowOff>29308</xdr:rowOff>
    </xdr:to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5514B4BF-195C-4004-8786-D42AF9EA802D}"/>
            </a:ext>
          </a:extLst>
        </xdr:cNvPr>
        <xdr:cNvSpPr txBox="1"/>
      </xdr:nvSpPr>
      <xdr:spPr>
        <a:xfrm>
          <a:off x="4014122" y="108275762"/>
          <a:ext cx="1045792" cy="3799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FORMA LIBRE</a:t>
          </a:r>
        </a:p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N° de Control</a:t>
          </a:r>
        </a:p>
      </xdr:txBody>
    </xdr:sp>
    <xdr:clientData/>
  </xdr:twoCellAnchor>
  <xdr:twoCellAnchor>
    <xdr:from>
      <xdr:col>9</xdr:col>
      <xdr:colOff>158514</xdr:colOff>
      <xdr:row>1377</xdr:row>
      <xdr:rowOff>13671</xdr:rowOff>
    </xdr:from>
    <xdr:to>
      <xdr:col>10</xdr:col>
      <xdr:colOff>249114</xdr:colOff>
      <xdr:row>1378</xdr:row>
      <xdr:rowOff>157430</xdr:rowOff>
    </xdr:to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16F4F1A3-430E-4B40-B497-D81658ACF667}"/>
            </a:ext>
          </a:extLst>
        </xdr:cNvPr>
        <xdr:cNvSpPr txBox="1"/>
      </xdr:nvSpPr>
      <xdr:spPr>
        <a:xfrm>
          <a:off x="5061818" y="108275649"/>
          <a:ext cx="529579" cy="325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Arial" panose="020B0604020202020204" pitchFamily="34" charset="0"/>
              <a:ea typeface="Roboto" panose="02000000000000000000" pitchFamily="2" charset="0"/>
              <a:cs typeface="Arial" panose="020B0604020202020204" pitchFamily="34" charset="0"/>
            </a:rPr>
            <a:t>00-</a:t>
          </a:r>
          <a:endParaRPr lang="en-US" sz="1600">
            <a:solidFill>
              <a:srgbClr val="FF0000"/>
            </a:solidFill>
            <a:latin typeface="Arial" panose="020B0604020202020204" pitchFamily="34" charset="0"/>
            <a:ea typeface="Roboto" panose="02000000000000000000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322385</xdr:colOff>
      <xdr:row>1373</xdr:row>
      <xdr:rowOff>52711</xdr:rowOff>
    </xdr:from>
    <xdr:to>
      <xdr:col>12</xdr:col>
      <xdr:colOff>0</xdr:colOff>
      <xdr:row>1375</xdr:row>
      <xdr:rowOff>80211</xdr:rowOff>
    </xdr:to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B823DD2F-3CCB-4D17-B763-7E567F85546E}"/>
            </a:ext>
          </a:extLst>
        </xdr:cNvPr>
        <xdr:cNvSpPr txBox="1"/>
      </xdr:nvSpPr>
      <xdr:spPr>
        <a:xfrm>
          <a:off x="910450" y="107585820"/>
          <a:ext cx="5790180" cy="3919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CALLE AYACUCHO, CASA Nro 36, SECTOR CASCO CENTRAL. CABIMAS - EDO. ZULIA ZONA POSTAL 4013          </a:t>
          </a:r>
        </a:p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TELF.: (0264) 241.65.04 - E-MAIL: LLLIMPORTCA@GMAIL.COM</a:t>
          </a:r>
        </a:p>
      </xdr:txBody>
    </xdr:sp>
    <xdr:clientData/>
  </xdr:twoCellAnchor>
  <xdr:twoCellAnchor>
    <xdr:from>
      <xdr:col>2</xdr:col>
      <xdr:colOff>122464</xdr:colOff>
      <xdr:row>1375</xdr:row>
      <xdr:rowOff>78241</xdr:rowOff>
    </xdr:from>
    <xdr:to>
      <xdr:col>11</xdr:col>
      <xdr:colOff>488156</xdr:colOff>
      <xdr:row>1375</xdr:row>
      <xdr:rowOff>83343</xdr:rowOff>
    </xdr:to>
    <xdr:cxnSp macro="">
      <xdr:nvCxnSpPr>
        <xdr:cNvPr id="266" name="Straight Connector 265">
          <a:extLst>
            <a:ext uri="{FF2B5EF4-FFF2-40B4-BE49-F238E27FC236}">
              <a16:creationId xmlns:a16="http://schemas.microsoft.com/office/drawing/2014/main" id="{0C445C56-1B27-40FF-A685-C93940DDBC3F}"/>
            </a:ext>
          </a:extLst>
        </xdr:cNvPr>
        <xdr:cNvCxnSpPr/>
      </xdr:nvCxnSpPr>
      <xdr:spPr>
        <a:xfrm>
          <a:off x="1240616" y="107975784"/>
          <a:ext cx="5360105" cy="510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119503</xdr:colOff>
      <xdr:row>1375</xdr:row>
      <xdr:rowOff>32085</xdr:rowOff>
    </xdr:from>
    <xdr:to>
      <xdr:col>11</xdr:col>
      <xdr:colOff>482203</xdr:colOff>
      <xdr:row>1375</xdr:row>
      <xdr:rowOff>35718</xdr:rowOff>
    </xdr:to>
    <xdr:cxnSp macro="">
      <xdr:nvCxnSpPr>
        <xdr:cNvPr id="267" name="Straight Connector 266">
          <a:extLst>
            <a:ext uri="{FF2B5EF4-FFF2-40B4-BE49-F238E27FC236}">
              <a16:creationId xmlns:a16="http://schemas.microsoft.com/office/drawing/2014/main" id="{54B56475-0030-4D64-8773-0523A94F88A4}"/>
            </a:ext>
          </a:extLst>
        </xdr:cNvPr>
        <xdr:cNvCxnSpPr/>
      </xdr:nvCxnSpPr>
      <xdr:spPr>
        <a:xfrm>
          <a:off x="1237655" y="107929628"/>
          <a:ext cx="5357113" cy="363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325589</xdr:colOff>
      <xdr:row>1418</xdr:row>
      <xdr:rowOff>21979</xdr:rowOff>
    </xdr:from>
    <xdr:to>
      <xdr:col>11</xdr:col>
      <xdr:colOff>315515</xdr:colOff>
      <xdr:row>1419</xdr:row>
      <xdr:rowOff>152948</xdr:rowOff>
    </xdr:to>
    <xdr:sp macro="" textlink="">
      <xdr:nvSpPr>
        <xdr:cNvPr id="268" name="Rectangle: Rounded Corners 267">
          <a:extLst>
            <a:ext uri="{FF2B5EF4-FFF2-40B4-BE49-F238E27FC236}">
              <a16:creationId xmlns:a16="http://schemas.microsoft.com/office/drawing/2014/main" id="{30BE243F-BD95-4B5E-8EB0-70C11322FEB6}"/>
            </a:ext>
          </a:extLst>
        </xdr:cNvPr>
        <xdr:cNvSpPr/>
      </xdr:nvSpPr>
      <xdr:spPr>
        <a:xfrm>
          <a:off x="325589" y="115763153"/>
          <a:ext cx="6102491" cy="304904"/>
        </a:xfrm>
        <a:prstGeom prst="roundRect">
          <a:avLst/>
        </a:prstGeom>
        <a:noFill/>
        <a:ln w="2857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249115</xdr:colOff>
      <xdr:row>1413</xdr:row>
      <xdr:rowOff>175846</xdr:rowOff>
    </xdr:from>
    <xdr:to>
      <xdr:col>4</xdr:col>
      <xdr:colOff>395654</xdr:colOff>
      <xdr:row>1413</xdr:row>
      <xdr:rowOff>175846</xdr:rowOff>
    </xdr:to>
    <xdr:cxnSp macro="">
      <xdr:nvCxnSpPr>
        <xdr:cNvPr id="269" name="Straight Connector 268">
          <a:extLst>
            <a:ext uri="{FF2B5EF4-FFF2-40B4-BE49-F238E27FC236}">
              <a16:creationId xmlns:a16="http://schemas.microsoft.com/office/drawing/2014/main" id="{91A14F95-BEF4-446A-BFA1-37AB54C6CBD8}"/>
            </a:ext>
          </a:extLst>
        </xdr:cNvPr>
        <xdr:cNvCxnSpPr/>
      </xdr:nvCxnSpPr>
      <xdr:spPr>
        <a:xfrm>
          <a:off x="1367267" y="115005933"/>
          <a:ext cx="1430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30088</xdr:colOff>
      <xdr:row>1424</xdr:row>
      <xdr:rowOff>85396</xdr:rowOff>
    </xdr:from>
    <xdr:to>
      <xdr:col>3</xdr:col>
      <xdr:colOff>95779</xdr:colOff>
      <xdr:row>1425</xdr:row>
      <xdr:rowOff>59122</xdr:rowOff>
    </xdr:to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AB1809C4-BC90-42BE-922E-18C22A93985B}"/>
            </a:ext>
          </a:extLst>
        </xdr:cNvPr>
        <xdr:cNvSpPr txBox="1"/>
      </xdr:nvSpPr>
      <xdr:spPr>
        <a:xfrm>
          <a:off x="1148240" y="116928157"/>
          <a:ext cx="736582" cy="155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>
              <a:latin typeface="Arial" panose="020B0604020202020204" pitchFamily="34" charset="0"/>
              <a:cs typeface="Arial" panose="020B0604020202020204" pitchFamily="34" charset="0"/>
            </a:rPr>
            <a:t>J-40542036-0</a:t>
          </a:r>
        </a:p>
      </xdr:txBody>
    </xdr:sp>
    <xdr:clientData/>
  </xdr:twoCellAnchor>
  <xdr:twoCellAnchor>
    <xdr:from>
      <xdr:col>5</xdr:col>
      <xdr:colOff>974405</xdr:colOff>
      <xdr:row>1426</xdr:row>
      <xdr:rowOff>13784</xdr:rowOff>
    </xdr:from>
    <xdr:to>
      <xdr:col>9</xdr:col>
      <xdr:colOff>156610</xdr:colOff>
      <xdr:row>1428</xdr:row>
      <xdr:rowOff>29308</xdr:rowOff>
    </xdr:to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ED03E2C9-8FC6-4AC4-A95E-F57DF03C8241}"/>
            </a:ext>
          </a:extLst>
        </xdr:cNvPr>
        <xdr:cNvSpPr txBox="1"/>
      </xdr:nvSpPr>
      <xdr:spPr>
        <a:xfrm>
          <a:off x="4014122" y="117220980"/>
          <a:ext cx="1045792" cy="37995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FORMA LIBRE</a:t>
          </a:r>
        </a:p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N° de Control</a:t>
          </a:r>
        </a:p>
      </xdr:txBody>
    </xdr:sp>
    <xdr:clientData/>
  </xdr:twoCellAnchor>
  <xdr:twoCellAnchor>
    <xdr:from>
      <xdr:col>9</xdr:col>
      <xdr:colOff>158514</xdr:colOff>
      <xdr:row>1426</xdr:row>
      <xdr:rowOff>13671</xdr:rowOff>
    </xdr:from>
    <xdr:to>
      <xdr:col>10</xdr:col>
      <xdr:colOff>249114</xdr:colOff>
      <xdr:row>1427</xdr:row>
      <xdr:rowOff>157430</xdr:rowOff>
    </xdr:to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E0F3860A-68AF-457D-A4AA-B86A0378C835}"/>
            </a:ext>
          </a:extLst>
        </xdr:cNvPr>
        <xdr:cNvSpPr txBox="1"/>
      </xdr:nvSpPr>
      <xdr:spPr>
        <a:xfrm>
          <a:off x="5061818" y="117220867"/>
          <a:ext cx="529579" cy="325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Arial" panose="020B0604020202020204" pitchFamily="34" charset="0"/>
              <a:ea typeface="Roboto" panose="02000000000000000000" pitchFamily="2" charset="0"/>
              <a:cs typeface="Arial" panose="020B0604020202020204" pitchFamily="34" charset="0"/>
            </a:rPr>
            <a:t>00-</a:t>
          </a:r>
          <a:endParaRPr lang="en-US" sz="1600">
            <a:solidFill>
              <a:srgbClr val="FF0000"/>
            </a:solidFill>
            <a:latin typeface="Arial" panose="020B0604020202020204" pitchFamily="34" charset="0"/>
            <a:ea typeface="Roboto" panose="02000000000000000000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322385</xdr:colOff>
      <xdr:row>1422</xdr:row>
      <xdr:rowOff>52711</xdr:rowOff>
    </xdr:from>
    <xdr:to>
      <xdr:col>12</xdr:col>
      <xdr:colOff>0</xdr:colOff>
      <xdr:row>1424</xdr:row>
      <xdr:rowOff>80211</xdr:rowOff>
    </xdr:to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49672200-C3EA-402B-8CFE-B4795E198C89}"/>
            </a:ext>
          </a:extLst>
        </xdr:cNvPr>
        <xdr:cNvSpPr txBox="1"/>
      </xdr:nvSpPr>
      <xdr:spPr>
        <a:xfrm>
          <a:off x="910450" y="116531037"/>
          <a:ext cx="5790180" cy="39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CALLE AYACUCHO, CASA Nro 36, SECTOR CASCO CENTRAL. CABIMAS - EDO. ZULIA ZONA POSTAL 4013          </a:t>
          </a:r>
        </a:p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TELF.: (0264) 241.65.04 - E-MAIL: LLLIMPORTCA@GMAIL.COM</a:t>
          </a:r>
        </a:p>
      </xdr:txBody>
    </xdr:sp>
    <xdr:clientData/>
  </xdr:twoCellAnchor>
  <xdr:twoCellAnchor>
    <xdr:from>
      <xdr:col>2</xdr:col>
      <xdr:colOff>122464</xdr:colOff>
      <xdr:row>1424</xdr:row>
      <xdr:rowOff>78241</xdr:rowOff>
    </xdr:from>
    <xdr:to>
      <xdr:col>11</xdr:col>
      <xdr:colOff>488156</xdr:colOff>
      <xdr:row>1424</xdr:row>
      <xdr:rowOff>83343</xdr:rowOff>
    </xdr:to>
    <xdr:cxnSp macro="">
      <xdr:nvCxnSpPr>
        <xdr:cNvPr id="274" name="Straight Connector 273">
          <a:extLst>
            <a:ext uri="{FF2B5EF4-FFF2-40B4-BE49-F238E27FC236}">
              <a16:creationId xmlns:a16="http://schemas.microsoft.com/office/drawing/2014/main" id="{40D1AD79-1453-4481-9A8C-20CD94576647}"/>
            </a:ext>
          </a:extLst>
        </xdr:cNvPr>
        <xdr:cNvCxnSpPr/>
      </xdr:nvCxnSpPr>
      <xdr:spPr>
        <a:xfrm>
          <a:off x="1240616" y="116921002"/>
          <a:ext cx="5360105" cy="510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119503</xdr:colOff>
      <xdr:row>1424</xdr:row>
      <xdr:rowOff>32085</xdr:rowOff>
    </xdr:from>
    <xdr:to>
      <xdr:col>11</xdr:col>
      <xdr:colOff>482203</xdr:colOff>
      <xdr:row>1424</xdr:row>
      <xdr:rowOff>35718</xdr:rowOff>
    </xdr:to>
    <xdr:cxnSp macro="">
      <xdr:nvCxnSpPr>
        <xdr:cNvPr id="275" name="Straight Connector 274">
          <a:extLst>
            <a:ext uri="{FF2B5EF4-FFF2-40B4-BE49-F238E27FC236}">
              <a16:creationId xmlns:a16="http://schemas.microsoft.com/office/drawing/2014/main" id="{049F2C5C-15AF-4847-92B6-B0578EC0CBE8}"/>
            </a:ext>
          </a:extLst>
        </xdr:cNvPr>
        <xdr:cNvCxnSpPr/>
      </xdr:nvCxnSpPr>
      <xdr:spPr>
        <a:xfrm>
          <a:off x="1237655" y="116874846"/>
          <a:ext cx="5357113" cy="363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325589</xdr:colOff>
      <xdr:row>1467</xdr:row>
      <xdr:rowOff>21979</xdr:rowOff>
    </xdr:from>
    <xdr:to>
      <xdr:col>11</xdr:col>
      <xdr:colOff>315515</xdr:colOff>
      <xdr:row>1468</xdr:row>
      <xdr:rowOff>152948</xdr:rowOff>
    </xdr:to>
    <xdr:sp macro="" textlink="">
      <xdr:nvSpPr>
        <xdr:cNvPr id="276" name="Rectangle: Rounded Corners 275">
          <a:extLst>
            <a:ext uri="{FF2B5EF4-FFF2-40B4-BE49-F238E27FC236}">
              <a16:creationId xmlns:a16="http://schemas.microsoft.com/office/drawing/2014/main" id="{88C2F97B-784A-4BF8-977B-F10BD99E8C16}"/>
            </a:ext>
          </a:extLst>
        </xdr:cNvPr>
        <xdr:cNvSpPr/>
      </xdr:nvSpPr>
      <xdr:spPr>
        <a:xfrm>
          <a:off x="325589" y="124708370"/>
          <a:ext cx="6102491" cy="304904"/>
        </a:xfrm>
        <a:prstGeom prst="roundRect">
          <a:avLst/>
        </a:prstGeom>
        <a:noFill/>
        <a:ln w="2857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249115</xdr:colOff>
      <xdr:row>1462</xdr:row>
      <xdr:rowOff>175846</xdr:rowOff>
    </xdr:from>
    <xdr:to>
      <xdr:col>4</xdr:col>
      <xdr:colOff>395654</xdr:colOff>
      <xdr:row>1462</xdr:row>
      <xdr:rowOff>175846</xdr:rowOff>
    </xdr:to>
    <xdr:cxnSp macro="">
      <xdr:nvCxnSpPr>
        <xdr:cNvPr id="277" name="Straight Connector 276">
          <a:extLst>
            <a:ext uri="{FF2B5EF4-FFF2-40B4-BE49-F238E27FC236}">
              <a16:creationId xmlns:a16="http://schemas.microsoft.com/office/drawing/2014/main" id="{36046A39-1B46-43C0-8471-EAA73796DC4D}"/>
            </a:ext>
          </a:extLst>
        </xdr:cNvPr>
        <xdr:cNvCxnSpPr/>
      </xdr:nvCxnSpPr>
      <xdr:spPr>
        <a:xfrm>
          <a:off x="1367267" y="123951150"/>
          <a:ext cx="1430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30088</xdr:colOff>
      <xdr:row>1473</xdr:row>
      <xdr:rowOff>85396</xdr:rowOff>
    </xdr:from>
    <xdr:to>
      <xdr:col>3</xdr:col>
      <xdr:colOff>95779</xdr:colOff>
      <xdr:row>1474</xdr:row>
      <xdr:rowOff>59122</xdr:rowOff>
    </xdr:to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188F020C-343E-443C-AC43-2EC65D43E8CF}"/>
            </a:ext>
          </a:extLst>
        </xdr:cNvPr>
        <xdr:cNvSpPr txBox="1"/>
      </xdr:nvSpPr>
      <xdr:spPr>
        <a:xfrm>
          <a:off x="1148240" y="125873374"/>
          <a:ext cx="736582" cy="1559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>
              <a:latin typeface="Arial" panose="020B0604020202020204" pitchFamily="34" charset="0"/>
              <a:cs typeface="Arial" panose="020B0604020202020204" pitchFamily="34" charset="0"/>
            </a:rPr>
            <a:t>J-40542036-0</a:t>
          </a:r>
        </a:p>
      </xdr:txBody>
    </xdr:sp>
    <xdr:clientData/>
  </xdr:twoCellAnchor>
  <xdr:twoCellAnchor>
    <xdr:from>
      <xdr:col>5</xdr:col>
      <xdr:colOff>974405</xdr:colOff>
      <xdr:row>1475</xdr:row>
      <xdr:rowOff>13784</xdr:rowOff>
    </xdr:from>
    <xdr:to>
      <xdr:col>9</xdr:col>
      <xdr:colOff>156610</xdr:colOff>
      <xdr:row>1477</xdr:row>
      <xdr:rowOff>29308</xdr:rowOff>
    </xdr:to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06219D61-BE29-45A1-B34D-12A3587D32A6}"/>
            </a:ext>
          </a:extLst>
        </xdr:cNvPr>
        <xdr:cNvSpPr txBox="1"/>
      </xdr:nvSpPr>
      <xdr:spPr>
        <a:xfrm>
          <a:off x="4014122" y="126166197"/>
          <a:ext cx="1045792" cy="3799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FORMA LIBRE</a:t>
          </a:r>
        </a:p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N° de Control</a:t>
          </a:r>
        </a:p>
      </xdr:txBody>
    </xdr:sp>
    <xdr:clientData/>
  </xdr:twoCellAnchor>
  <xdr:twoCellAnchor>
    <xdr:from>
      <xdr:col>9</xdr:col>
      <xdr:colOff>158514</xdr:colOff>
      <xdr:row>1475</xdr:row>
      <xdr:rowOff>13671</xdr:rowOff>
    </xdr:from>
    <xdr:to>
      <xdr:col>10</xdr:col>
      <xdr:colOff>249114</xdr:colOff>
      <xdr:row>1476</xdr:row>
      <xdr:rowOff>157430</xdr:rowOff>
    </xdr:to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A2A51FBC-FC37-4872-B6FB-9C04EFBD5554}"/>
            </a:ext>
          </a:extLst>
        </xdr:cNvPr>
        <xdr:cNvSpPr txBox="1"/>
      </xdr:nvSpPr>
      <xdr:spPr>
        <a:xfrm>
          <a:off x="5061818" y="126166084"/>
          <a:ext cx="529579" cy="325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Arial" panose="020B0604020202020204" pitchFamily="34" charset="0"/>
              <a:ea typeface="Roboto" panose="02000000000000000000" pitchFamily="2" charset="0"/>
              <a:cs typeface="Arial" panose="020B0604020202020204" pitchFamily="34" charset="0"/>
            </a:rPr>
            <a:t>00-</a:t>
          </a:r>
          <a:endParaRPr lang="en-US" sz="1600">
            <a:solidFill>
              <a:srgbClr val="FF0000"/>
            </a:solidFill>
            <a:latin typeface="Arial" panose="020B0604020202020204" pitchFamily="34" charset="0"/>
            <a:ea typeface="Roboto" panose="02000000000000000000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322385</xdr:colOff>
      <xdr:row>1471</xdr:row>
      <xdr:rowOff>52711</xdr:rowOff>
    </xdr:from>
    <xdr:to>
      <xdr:col>12</xdr:col>
      <xdr:colOff>0</xdr:colOff>
      <xdr:row>1473</xdr:row>
      <xdr:rowOff>80211</xdr:rowOff>
    </xdr:to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820F4719-19B4-474E-890F-9EEFE7AEDFA6}"/>
            </a:ext>
          </a:extLst>
        </xdr:cNvPr>
        <xdr:cNvSpPr txBox="1"/>
      </xdr:nvSpPr>
      <xdr:spPr>
        <a:xfrm>
          <a:off x="910450" y="125476254"/>
          <a:ext cx="5790180" cy="39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CALLE AYACUCHO, CASA Nro 36, SECTOR CASCO CENTRAL. CABIMAS - EDO. ZULIA ZONA POSTAL 4013          </a:t>
          </a:r>
        </a:p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TELF.: (0264) 241.65.04 - E-MAIL: LLLIMPORTCA@GMAIL.COM</a:t>
          </a:r>
        </a:p>
      </xdr:txBody>
    </xdr:sp>
    <xdr:clientData/>
  </xdr:twoCellAnchor>
  <xdr:twoCellAnchor>
    <xdr:from>
      <xdr:col>2</xdr:col>
      <xdr:colOff>122464</xdr:colOff>
      <xdr:row>1473</xdr:row>
      <xdr:rowOff>78241</xdr:rowOff>
    </xdr:from>
    <xdr:to>
      <xdr:col>11</xdr:col>
      <xdr:colOff>488156</xdr:colOff>
      <xdr:row>1473</xdr:row>
      <xdr:rowOff>83343</xdr:rowOff>
    </xdr:to>
    <xdr:cxnSp macro="">
      <xdr:nvCxnSpPr>
        <xdr:cNvPr id="282" name="Straight Connector 281">
          <a:extLst>
            <a:ext uri="{FF2B5EF4-FFF2-40B4-BE49-F238E27FC236}">
              <a16:creationId xmlns:a16="http://schemas.microsoft.com/office/drawing/2014/main" id="{A820C933-2A2E-4995-93B7-85FAA39447D8}"/>
            </a:ext>
          </a:extLst>
        </xdr:cNvPr>
        <xdr:cNvCxnSpPr/>
      </xdr:nvCxnSpPr>
      <xdr:spPr>
        <a:xfrm>
          <a:off x="1240616" y="125866219"/>
          <a:ext cx="5360105" cy="510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119503</xdr:colOff>
      <xdr:row>1473</xdr:row>
      <xdr:rowOff>32085</xdr:rowOff>
    </xdr:from>
    <xdr:to>
      <xdr:col>11</xdr:col>
      <xdr:colOff>482203</xdr:colOff>
      <xdr:row>1473</xdr:row>
      <xdr:rowOff>35718</xdr:rowOff>
    </xdr:to>
    <xdr:cxnSp macro="">
      <xdr:nvCxnSpPr>
        <xdr:cNvPr id="283" name="Straight Connector 282">
          <a:extLst>
            <a:ext uri="{FF2B5EF4-FFF2-40B4-BE49-F238E27FC236}">
              <a16:creationId xmlns:a16="http://schemas.microsoft.com/office/drawing/2014/main" id="{E9DECD1A-F6BD-4982-B481-D8528B0D029E}"/>
            </a:ext>
          </a:extLst>
        </xdr:cNvPr>
        <xdr:cNvCxnSpPr/>
      </xdr:nvCxnSpPr>
      <xdr:spPr>
        <a:xfrm>
          <a:off x="1237655" y="125820063"/>
          <a:ext cx="5357113" cy="363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325589</xdr:colOff>
      <xdr:row>1516</xdr:row>
      <xdr:rowOff>21979</xdr:rowOff>
    </xdr:from>
    <xdr:to>
      <xdr:col>11</xdr:col>
      <xdr:colOff>315515</xdr:colOff>
      <xdr:row>1517</xdr:row>
      <xdr:rowOff>152948</xdr:rowOff>
    </xdr:to>
    <xdr:sp macro="" textlink="">
      <xdr:nvSpPr>
        <xdr:cNvPr id="284" name="Rectangle: Rounded Corners 283">
          <a:extLst>
            <a:ext uri="{FF2B5EF4-FFF2-40B4-BE49-F238E27FC236}">
              <a16:creationId xmlns:a16="http://schemas.microsoft.com/office/drawing/2014/main" id="{583E15C8-FF59-42BB-ABCF-728A9AE57D7A}"/>
            </a:ext>
          </a:extLst>
        </xdr:cNvPr>
        <xdr:cNvSpPr/>
      </xdr:nvSpPr>
      <xdr:spPr>
        <a:xfrm>
          <a:off x="325589" y="133653588"/>
          <a:ext cx="6102491" cy="304903"/>
        </a:xfrm>
        <a:prstGeom prst="roundRect">
          <a:avLst/>
        </a:prstGeom>
        <a:noFill/>
        <a:ln w="2857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249115</xdr:colOff>
      <xdr:row>1511</xdr:row>
      <xdr:rowOff>175846</xdr:rowOff>
    </xdr:from>
    <xdr:to>
      <xdr:col>4</xdr:col>
      <xdr:colOff>395654</xdr:colOff>
      <xdr:row>1511</xdr:row>
      <xdr:rowOff>175846</xdr:rowOff>
    </xdr:to>
    <xdr:cxnSp macro="">
      <xdr:nvCxnSpPr>
        <xdr:cNvPr id="285" name="Straight Connector 284">
          <a:extLst>
            <a:ext uri="{FF2B5EF4-FFF2-40B4-BE49-F238E27FC236}">
              <a16:creationId xmlns:a16="http://schemas.microsoft.com/office/drawing/2014/main" id="{099BDB89-8D09-4109-A9C0-A500C719C1EE}"/>
            </a:ext>
          </a:extLst>
        </xdr:cNvPr>
        <xdr:cNvCxnSpPr/>
      </xdr:nvCxnSpPr>
      <xdr:spPr>
        <a:xfrm>
          <a:off x="1367267" y="132896368"/>
          <a:ext cx="1430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30088</xdr:colOff>
      <xdr:row>1522</xdr:row>
      <xdr:rowOff>85396</xdr:rowOff>
    </xdr:from>
    <xdr:to>
      <xdr:col>3</xdr:col>
      <xdr:colOff>95779</xdr:colOff>
      <xdr:row>1523</xdr:row>
      <xdr:rowOff>59122</xdr:rowOff>
    </xdr:to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610A177E-4B20-4FB9-8DE4-5C0108F59E5A}"/>
            </a:ext>
          </a:extLst>
        </xdr:cNvPr>
        <xdr:cNvSpPr txBox="1"/>
      </xdr:nvSpPr>
      <xdr:spPr>
        <a:xfrm>
          <a:off x="1148240" y="134818592"/>
          <a:ext cx="736582" cy="155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>
              <a:latin typeface="Arial" panose="020B0604020202020204" pitchFamily="34" charset="0"/>
              <a:cs typeface="Arial" panose="020B0604020202020204" pitchFamily="34" charset="0"/>
            </a:rPr>
            <a:t>J-40542036-0</a:t>
          </a:r>
        </a:p>
      </xdr:txBody>
    </xdr:sp>
    <xdr:clientData/>
  </xdr:twoCellAnchor>
  <xdr:twoCellAnchor>
    <xdr:from>
      <xdr:col>5</xdr:col>
      <xdr:colOff>974405</xdr:colOff>
      <xdr:row>1524</xdr:row>
      <xdr:rowOff>13784</xdr:rowOff>
    </xdr:from>
    <xdr:to>
      <xdr:col>9</xdr:col>
      <xdr:colOff>156610</xdr:colOff>
      <xdr:row>1526</xdr:row>
      <xdr:rowOff>29308</xdr:rowOff>
    </xdr:to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049AA6A9-6D8E-412F-8D5A-C07CC3ABFD62}"/>
            </a:ext>
          </a:extLst>
        </xdr:cNvPr>
        <xdr:cNvSpPr txBox="1"/>
      </xdr:nvSpPr>
      <xdr:spPr>
        <a:xfrm>
          <a:off x="4014122" y="135111414"/>
          <a:ext cx="1045792" cy="3799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FORMA LIBRE</a:t>
          </a:r>
        </a:p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N° de Control</a:t>
          </a:r>
        </a:p>
      </xdr:txBody>
    </xdr:sp>
    <xdr:clientData/>
  </xdr:twoCellAnchor>
  <xdr:twoCellAnchor>
    <xdr:from>
      <xdr:col>9</xdr:col>
      <xdr:colOff>158514</xdr:colOff>
      <xdr:row>1524</xdr:row>
      <xdr:rowOff>13671</xdr:rowOff>
    </xdr:from>
    <xdr:to>
      <xdr:col>10</xdr:col>
      <xdr:colOff>249114</xdr:colOff>
      <xdr:row>1525</xdr:row>
      <xdr:rowOff>157430</xdr:rowOff>
    </xdr:to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69CAB74C-DF13-4875-AC20-A46A898EB71D}"/>
            </a:ext>
          </a:extLst>
        </xdr:cNvPr>
        <xdr:cNvSpPr txBox="1"/>
      </xdr:nvSpPr>
      <xdr:spPr>
        <a:xfrm>
          <a:off x="5061818" y="135111301"/>
          <a:ext cx="529579" cy="325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Arial" panose="020B0604020202020204" pitchFamily="34" charset="0"/>
              <a:ea typeface="Roboto" panose="02000000000000000000" pitchFamily="2" charset="0"/>
              <a:cs typeface="Arial" panose="020B0604020202020204" pitchFamily="34" charset="0"/>
            </a:rPr>
            <a:t>00-</a:t>
          </a:r>
          <a:endParaRPr lang="en-US" sz="1600">
            <a:solidFill>
              <a:srgbClr val="FF0000"/>
            </a:solidFill>
            <a:latin typeface="Arial" panose="020B0604020202020204" pitchFamily="34" charset="0"/>
            <a:ea typeface="Roboto" panose="02000000000000000000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322385</xdr:colOff>
      <xdr:row>1520</xdr:row>
      <xdr:rowOff>52711</xdr:rowOff>
    </xdr:from>
    <xdr:to>
      <xdr:col>12</xdr:col>
      <xdr:colOff>0</xdr:colOff>
      <xdr:row>1522</xdr:row>
      <xdr:rowOff>80211</xdr:rowOff>
    </xdr:to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04544A04-02AF-48E5-A20E-36DE704C88B6}"/>
            </a:ext>
          </a:extLst>
        </xdr:cNvPr>
        <xdr:cNvSpPr txBox="1"/>
      </xdr:nvSpPr>
      <xdr:spPr>
        <a:xfrm>
          <a:off x="910450" y="134421472"/>
          <a:ext cx="5790180" cy="39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CALLE AYACUCHO, CASA Nro 36, SECTOR CASCO CENTRAL. CABIMAS - EDO. ZULIA ZONA POSTAL 4013          </a:t>
          </a:r>
        </a:p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TELF.: (0264) 241.65.04 - E-MAIL: LLLIMPORTCA@GMAIL.COM</a:t>
          </a:r>
        </a:p>
      </xdr:txBody>
    </xdr:sp>
    <xdr:clientData/>
  </xdr:twoCellAnchor>
  <xdr:twoCellAnchor>
    <xdr:from>
      <xdr:col>2</xdr:col>
      <xdr:colOff>122464</xdr:colOff>
      <xdr:row>1522</xdr:row>
      <xdr:rowOff>78241</xdr:rowOff>
    </xdr:from>
    <xdr:to>
      <xdr:col>11</xdr:col>
      <xdr:colOff>488156</xdr:colOff>
      <xdr:row>1522</xdr:row>
      <xdr:rowOff>83343</xdr:rowOff>
    </xdr:to>
    <xdr:cxnSp macro="">
      <xdr:nvCxnSpPr>
        <xdr:cNvPr id="290" name="Straight Connector 289">
          <a:extLst>
            <a:ext uri="{FF2B5EF4-FFF2-40B4-BE49-F238E27FC236}">
              <a16:creationId xmlns:a16="http://schemas.microsoft.com/office/drawing/2014/main" id="{4B559CBB-84FD-415A-95D3-2A7DD2487F93}"/>
            </a:ext>
          </a:extLst>
        </xdr:cNvPr>
        <xdr:cNvCxnSpPr/>
      </xdr:nvCxnSpPr>
      <xdr:spPr>
        <a:xfrm>
          <a:off x="1240616" y="134811437"/>
          <a:ext cx="5360105" cy="510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119503</xdr:colOff>
      <xdr:row>1522</xdr:row>
      <xdr:rowOff>32085</xdr:rowOff>
    </xdr:from>
    <xdr:to>
      <xdr:col>11</xdr:col>
      <xdr:colOff>482203</xdr:colOff>
      <xdr:row>1522</xdr:row>
      <xdr:rowOff>35718</xdr:rowOff>
    </xdr:to>
    <xdr:cxnSp macro="">
      <xdr:nvCxnSpPr>
        <xdr:cNvPr id="291" name="Straight Connector 290">
          <a:extLst>
            <a:ext uri="{FF2B5EF4-FFF2-40B4-BE49-F238E27FC236}">
              <a16:creationId xmlns:a16="http://schemas.microsoft.com/office/drawing/2014/main" id="{C784F545-AE25-4FCE-A81A-47E0C003EB13}"/>
            </a:ext>
          </a:extLst>
        </xdr:cNvPr>
        <xdr:cNvCxnSpPr/>
      </xdr:nvCxnSpPr>
      <xdr:spPr>
        <a:xfrm>
          <a:off x="1237655" y="134765281"/>
          <a:ext cx="5357113" cy="363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325589</xdr:colOff>
      <xdr:row>1565</xdr:row>
      <xdr:rowOff>21979</xdr:rowOff>
    </xdr:from>
    <xdr:to>
      <xdr:col>11</xdr:col>
      <xdr:colOff>315515</xdr:colOff>
      <xdr:row>1566</xdr:row>
      <xdr:rowOff>152948</xdr:rowOff>
    </xdr:to>
    <xdr:sp macro="" textlink="">
      <xdr:nvSpPr>
        <xdr:cNvPr id="292" name="Rectangle: Rounded Corners 291">
          <a:extLst>
            <a:ext uri="{FF2B5EF4-FFF2-40B4-BE49-F238E27FC236}">
              <a16:creationId xmlns:a16="http://schemas.microsoft.com/office/drawing/2014/main" id="{5E0A082F-207B-4769-B7ED-7053EF01BF4D}"/>
            </a:ext>
          </a:extLst>
        </xdr:cNvPr>
        <xdr:cNvSpPr/>
      </xdr:nvSpPr>
      <xdr:spPr>
        <a:xfrm>
          <a:off x="325589" y="142598805"/>
          <a:ext cx="6102491" cy="304904"/>
        </a:xfrm>
        <a:prstGeom prst="roundRect">
          <a:avLst/>
        </a:prstGeom>
        <a:noFill/>
        <a:ln w="2857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249115</xdr:colOff>
      <xdr:row>1560</xdr:row>
      <xdr:rowOff>175846</xdr:rowOff>
    </xdr:from>
    <xdr:to>
      <xdr:col>4</xdr:col>
      <xdr:colOff>395654</xdr:colOff>
      <xdr:row>1560</xdr:row>
      <xdr:rowOff>175846</xdr:rowOff>
    </xdr:to>
    <xdr:cxnSp macro="">
      <xdr:nvCxnSpPr>
        <xdr:cNvPr id="293" name="Straight Connector 292">
          <a:extLst>
            <a:ext uri="{FF2B5EF4-FFF2-40B4-BE49-F238E27FC236}">
              <a16:creationId xmlns:a16="http://schemas.microsoft.com/office/drawing/2014/main" id="{0F36C3E7-EA38-46D5-98D4-7A48E4B08408}"/>
            </a:ext>
          </a:extLst>
        </xdr:cNvPr>
        <xdr:cNvCxnSpPr/>
      </xdr:nvCxnSpPr>
      <xdr:spPr>
        <a:xfrm>
          <a:off x="1367267" y="141841585"/>
          <a:ext cx="1430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784</xdr:row>
      <xdr:rowOff>0</xdr:rowOff>
    </xdr:from>
    <xdr:to>
      <xdr:col>2</xdr:col>
      <xdr:colOff>72379</xdr:colOff>
      <xdr:row>790</xdr:row>
      <xdr:rowOff>173935</xdr:rowOff>
    </xdr:to>
    <xdr:pic>
      <xdr:nvPicPr>
        <xdr:cNvPr id="302" name="Picture 301" descr="A logo of an airplane&#10;&#10;Description automatically generated">
          <a:extLst>
            <a:ext uri="{FF2B5EF4-FFF2-40B4-BE49-F238E27FC236}">
              <a16:creationId xmlns:a16="http://schemas.microsoft.com/office/drawing/2014/main" id="{67AF825D-0427-421F-8777-6DC553238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3123478"/>
          <a:ext cx="1190531" cy="12755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833</xdr:row>
      <xdr:rowOff>0</xdr:rowOff>
    </xdr:from>
    <xdr:to>
      <xdr:col>2</xdr:col>
      <xdr:colOff>72379</xdr:colOff>
      <xdr:row>839</xdr:row>
      <xdr:rowOff>173935</xdr:rowOff>
    </xdr:to>
    <xdr:pic>
      <xdr:nvPicPr>
        <xdr:cNvPr id="303" name="Picture 302" descr="A logo of an airplane&#10;&#10;Description automatically generated">
          <a:extLst>
            <a:ext uri="{FF2B5EF4-FFF2-40B4-BE49-F238E27FC236}">
              <a16:creationId xmlns:a16="http://schemas.microsoft.com/office/drawing/2014/main" id="{2E6F6DEE-8E95-4EEB-935B-29921BCD8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2068696"/>
          <a:ext cx="1190531" cy="12755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882</xdr:row>
      <xdr:rowOff>0</xdr:rowOff>
    </xdr:from>
    <xdr:to>
      <xdr:col>2</xdr:col>
      <xdr:colOff>72379</xdr:colOff>
      <xdr:row>888</xdr:row>
      <xdr:rowOff>173935</xdr:rowOff>
    </xdr:to>
    <xdr:pic>
      <xdr:nvPicPr>
        <xdr:cNvPr id="304" name="Picture 303" descr="A logo of an airplane&#10;&#10;Description automatically generated">
          <a:extLst>
            <a:ext uri="{FF2B5EF4-FFF2-40B4-BE49-F238E27FC236}">
              <a16:creationId xmlns:a16="http://schemas.microsoft.com/office/drawing/2014/main" id="{B1D7C4B1-0872-44C3-BE6F-CDA59E4E9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1013913"/>
          <a:ext cx="1190531" cy="12755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931</xdr:row>
      <xdr:rowOff>0</xdr:rowOff>
    </xdr:from>
    <xdr:to>
      <xdr:col>2</xdr:col>
      <xdr:colOff>72379</xdr:colOff>
      <xdr:row>937</xdr:row>
      <xdr:rowOff>173935</xdr:rowOff>
    </xdr:to>
    <xdr:pic>
      <xdr:nvPicPr>
        <xdr:cNvPr id="305" name="Picture 304" descr="A logo of an airplane&#10;&#10;Description automatically generated">
          <a:extLst>
            <a:ext uri="{FF2B5EF4-FFF2-40B4-BE49-F238E27FC236}">
              <a16:creationId xmlns:a16="http://schemas.microsoft.com/office/drawing/2014/main" id="{558F1A3F-7C58-4CDD-8062-80ECAA50E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9959130"/>
          <a:ext cx="1190531" cy="12755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980</xdr:row>
      <xdr:rowOff>0</xdr:rowOff>
    </xdr:from>
    <xdr:to>
      <xdr:col>2</xdr:col>
      <xdr:colOff>72379</xdr:colOff>
      <xdr:row>986</xdr:row>
      <xdr:rowOff>173935</xdr:rowOff>
    </xdr:to>
    <xdr:pic>
      <xdr:nvPicPr>
        <xdr:cNvPr id="306" name="Picture 305" descr="A logo of an airplane&#10;&#10;Description automatically generated">
          <a:extLst>
            <a:ext uri="{FF2B5EF4-FFF2-40B4-BE49-F238E27FC236}">
              <a16:creationId xmlns:a16="http://schemas.microsoft.com/office/drawing/2014/main" id="{7D0C4D09-234C-44D1-BDBA-F4C0499B2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8904348"/>
          <a:ext cx="1190531" cy="12755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1029</xdr:row>
      <xdr:rowOff>0</xdr:rowOff>
    </xdr:from>
    <xdr:to>
      <xdr:col>2</xdr:col>
      <xdr:colOff>72379</xdr:colOff>
      <xdr:row>1035</xdr:row>
      <xdr:rowOff>173935</xdr:rowOff>
    </xdr:to>
    <xdr:pic>
      <xdr:nvPicPr>
        <xdr:cNvPr id="307" name="Picture 306" descr="A logo of an airplane&#10;&#10;Description automatically generated">
          <a:extLst>
            <a:ext uri="{FF2B5EF4-FFF2-40B4-BE49-F238E27FC236}">
              <a16:creationId xmlns:a16="http://schemas.microsoft.com/office/drawing/2014/main" id="{B3896CE9-17D5-476E-9297-37580F518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7849565"/>
          <a:ext cx="1190531" cy="12755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1078</xdr:row>
      <xdr:rowOff>0</xdr:rowOff>
    </xdr:from>
    <xdr:to>
      <xdr:col>2</xdr:col>
      <xdr:colOff>72379</xdr:colOff>
      <xdr:row>1084</xdr:row>
      <xdr:rowOff>173935</xdr:rowOff>
    </xdr:to>
    <xdr:pic>
      <xdr:nvPicPr>
        <xdr:cNvPr id="308" name="Picture 307" descr="A logo of an airplane&#10;&#10;Description automatically generated">
          <a:extLst>
            <a:ext uri="{FF2B5EF4-FFF2-40B4-BE49-F238E27FC236}">
              <a16:creationId xmlns:a16="http://schemas.microsoft.com/office/drawing/2014/main" id="{7F6FEB0C-2FC2-4F15-8F28-E49BE6B87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6794783"/>
          <a:ext cx="1190531" cy="12755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1127</xdr:row>
      <xdr:rowOff>0</xdr:rowOff>
    </xdr:from>
    <xdr:to>
      <xdr:col>2</xdr:col>
      <xdr:colOff>72379</xdr:colOff>
      <xdr:row>1133</xdr:row>
      <xdr:rowOff>173935</xdr:rowOff>
    </xdr:to>
    <xdr:pic>
      <xdr:nvPicPr>
        <xdr:cNvPr id="309" name="Picture 308" descr="A logo of an airplane&#10;&#10;Description automatically generated">
          <a:extLst>
            <a:ext uri="{FF2B5EF4-FFF2-40B4-BE49-F238E27FC236}">
              <a16:creationId xmlns:a16="http://schemas.microsoft.com/office/drawing/2014/main" id="{B84E4E1B-EAD9-43CA-92EF-15098EC41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5740000"/>
          <a:ext cx="1190531" cy="12755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1176</xdr:row>
      <xdr:rowOff>0</xdr:rowOff>
    </xdr:from>
    <xdr:to>
      <xdr:col>2</xdr:col>
      <xdr:colOff>72379</xdr:colOff>
      <xdr:row>1182</xdr:row>
      <xdr:rowOff>173935</xdr:rowOff>
    </xdr:to>
    <xdr:pic>
      <xdr:nvPicPr>
        <xdr:cNvPr id="310" name="Picture 309" descr="A logo of an airplane&#10;&#10;Description automatically generated">
          <a:extLst>
            <a:ext uri="{FF2B5EF4-FFF2-40B4-BE49-F238E27FC236}">
              <a16:creationId xmlns:a16="http://schemas.microsoft.com/office/drawing/2014/main" id="{62C3BB41-BB28-43BF-957D-8E5CE0ADF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4685217"/>
          <a:ext cx="1190531" cy="12755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1225</xdr:row>
      <xdr:rowOff>0</xdr:rowOff>
    </xdr:from>
    <xdr:to>
      <xdr:col>2</xdr:col>
      <xdr:colOff>72379</xdr:colOff>
      <xdr:row>1231</xdr:row>
      <xdr:rowOff>173935</xdr:rowOff>
    </xdr:to>
    <xdr:pic>
      <xdr:nvPicPr>
        <xdr:cNvPr id="311" name="Picture 310" descr="A logo of an airplane&#10;&#10;Description automatically generated">
          <a:extLst>
            <a:ext uri="{FF2B5EF4-FFF2-40B4-BE49-F238E27FC236}">
              <a16:creationId xmlns:a16="http://schemas.microsoft.com/office/drawing/2014/main" id="{2E35841F-DDD9-44E3-8677-A3CE41942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3630435"/>
          <a:ext cx="1190531" cy="12755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1274</xdr:row>
      <xdr:rowOff>0</xdr:rowOff>
    </xdr:from>
    <xdr:to>
      <xdr:col>2</xdr:col>
      <xdr:colOff>72379</xdr:colOff>
      <xdr:row>1280</xdr:row>
      <xdr:rowOff>173935</xdr:rowOff>
    </xdr:to>
    <xdr:pic>
      <xdr:nvPicPr>
        <xdr:cNvPr id="312" name="Picture 311" descr="A logo of an airplane&#10;&#10;Description automatically generated">
          <a:extLst>
            <a:ext uri="{FF2B5EF4-FFF2-40B4-BE49-F238E27FC236}">
              <a16:creationId xmlns:a16="http://schemas.microsoft.com/office/drawing/2014/main" id="{BD749E91-B6F3-4845-A2AA-116C1DA3D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2575652"/>
          <a:ext cx="1190531" cy="12755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1323</xdr:row>
      <xdr:rowOff>0</xdr:rowOff>
    </xdr:from>
    <xdr:to>
      <xdr:col>2</xdr:col>
      <xdr:colOff>72379</xdr:colOff>
      <xdr:row>1329</xdr:row>
      <xdr:rowOff>173935</xdr:rowOff>
    </xdr:to>
    <xdr:pic>
      <xdr:nvPicPr>
        <xdr:cNvPr id="313" name="Picture 312" descr="A logo of an airplane&#10;&#10;Description automatically generated">
          <a:extLst>
            <a:ext uri="{FF2B5EF4-FFF2-40B4-BE49-F238E27FC236}">
              <a16:creationId xmlns:a16="http://schemas.microsoft.com/office/drawing/2014/main" id="{EA2D43E9-B445-4F4B-A375-D70F1DAA1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1520870"/>
          <a:ext cx="1190531" cy="12755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1372</xdr:row>
      <xdr:rowOff>0</xdr:rowOff>
    </xdr:from>
    <xdr:to>
      <xdr:col>2</xdr:col>
      <xdr:colOff>72379</xdr:colOff>
      <xdr:row>1378</xdr:row>
      <xdr:rowOff>173935</xdr:rowOff>
    </xdr:to>
    <xdr:pic>
      <xdr:nvPicPr>
        <xdr:cNvPr id="314" name="Picture 313" descr="A logo of an airplane&#10;&#10;Description automatically generated">
          <a:extLst>
            <a:ext uri="{FF2B5EF4-FFF2-40B4-BE49-F238E27FC236}">
              <a16:creationId xmlns:a16="http://schemas.microsoft.com/office/drawing/2014/main" id="{FC892560-23C9-4839-9423-436C57D2E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0466087"/>
          <a:ext cx="1190531" cy="12755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1421</xdr:row>
      <xdr:rowOff>0</xdr:rowOff>
    </xdr:from>
    <xdr:to>
      <xdr:col>2</xdr:col>
      <xdr:colOff>72379</xdr:colOff>
      <xdr:row>1427</xdr:row>
      <xdr:rowOff>173935</xdr:rowOff>
    </xdr:to>
    <xdr:pic>
      <xdr:nvPicPr>
        <xdr:cNvPr id="315" name="Picture 314" descr="A logo of an airplane&#10;&#10;Description automatically generated">
          <a:extLst>
            <a:ext uri="{FF2B5EF4-FFF2-40B4-BE49-F238E27FC236}">
              <a16:creationId xmlns:a16="http://schemas.microsoft.com/office/drawing/2014/main" id="{BCA07E31-655F-417E-833C-B690C5F41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9411304"/>
          <a:ext cx="1190531" cy="12755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1470</xdr:row>
      <xdr:rowOff>0</xdr:rowOff>
    </xdr:from>
    <xdr:to>
      <xdr:col>2</xdr:col>
      <xdr:colOff>72379</xdr:colOff>
      <xdr:row>1476</xdr:row>
      <xdr:rowOff>173935</xdr:rowOff>
    </xdr:to>
    <xdr:pic>
      <xdr:nvPicPr>
        <xdr:cNvPr id="316" name="Picture 315" descr="A logo of an airplane&#10;&#10;Description automatically generated">
          <a:extLst>
            <a:ext uri="{FF2B5EF4-FFF2-40B4-BE49-F238E27FC236}">
              <a16:creationId xmlns:a16="http://schemas.microsoft.com/office/drawing/2014/main" id="{33CF589D-8D99-4524-9503-D6091816E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8356522"/>
          <a:ext cx="1190531" cy="12755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1519</xdr:row>
      <xdr:rowOff>0</xdr:rowOff>
    </xdr:from>
    <xdr:to>
      <xdr:col>2</xdr:col>
      <xdr:colOff>72379</xdr:colOff>
      <xdr:row>1525</xdr:row>
      <xdr:rowOff>173935</xdr:rowOff>
    </xdr:to>
    <xdr:pic>
      <xdr:nvPicPr>
        <xdr:cNvPr id="317" name="Picture 316" descr="A logo of an airplane&#10;&#10;Description automatically generated">
          <a:extLst>
            <a:ext uri="{FF2B5EF4-FFF2-40B4-BE49-F238E27FC236}">
              <a16:creationId xmlns:a16="http://schemas.microsoft.com/office/drawing/2014/main" id="{0211133B-09E3-43BE-90BB-F04869FD2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7301739"/>
          <a:ext cx="1190531" cy="1275522"/>
        </a:xfrm>
        <a:prstGeom prst="rect">
          <a:avLst/>
        </a:prstGeom>
      </xdr:spPr>
    </xdr:pic>
    <xdr:clientData/>
  </xdr:twoCellAnchor>
  <xdr:twoCellAnchor>
    <xdr:from>
      <xdr:col>2</xdr:col>
      <xdr:colOff>30088</xdr:colOff>
      <xdr:row>1571</xdr:row>
      <xdr:rowOff>85396</xdr:rowOff>
    </xdr:from>
    <xdr:to>
      <xdr:col>3</xdr:col>
      <xdr:colOff>95779</xdr:colOff>
      <xdr:row>1572</xdr:row>
      <xdr:rowOff>59122</xdr:rowOff>
    </xdr:to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889EC10C-18D8-4E6C-912A-CE8C24D64F8E}"/>
            </a:ext>
          </a:extLst>
        </xdr:cNvPr>
        <xdr:cNvSpPr txBox="1"/>
      </xdr:nvSpPr>
      <xdr:spPr>
        <a:xfrm>
          <a:off x="1148240" y="224270766"/>
          <a:ext cx="736582" cy="155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>
              <a:latin typeface="Arial" panose="020B0604020202020204" pitchFamily="34" charset="0"/>
              <a:cs typeface="Arial" panose="020B0604020202020204" pitchFamily="34" charset="0"/>
            </a:rPr>
            <a:t>J-40542036-0</a:t>
          </a:r>
        </a:p>
      </xdr:txBody>
    </xdr:sp>
    <xdr:clientData/>
  </xdr:twoCellAnchor>
  <xdr:twoCellAnchor>
    <xdr:from>
      <xdr:col>5</xdr:col>
      <xdr:colOff>974405</xdr:colOff>
      <xdr:row>1573</xdr:row>
      <xdr:rowOff>13784</xdr:rowOff>
    </xdr:from>
    <xdr:to>
      <xdr:col>9</xdr:col>
      <xdr:colOff>156610</xdr:colOff>
      <xdr:row>1575</xdr:row>
      <xdr:rowOff>29308</xdr:rowOff>
    </xdr:to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586D20C0-EC43-44D0-A289-A0CB8EA63839}"/>
            </a:ext>
          </a:extLst>
        </xdr:cNvPr>
        <xdr:cNvSpPr txBox="1"/>
      </xdr:nvSpPr>
      <xdr:spPr>
        <a:xfrm>
          <a:off x="4014122" y="224563588"/>
          <a:ext cx="1045792" cy="3799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FORMA LIBRE</a:t>
          </a:r>
        </a:p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N° de Control</a:t>
          </a:r>
        </a:p>
      </xdr:txBody>
    </xdr:sp>
    <xdr:clientData/>
  </xdr:twoCellAnchor>
  <xdr:twoCellAnchor>
    <xdr:from>
      <xdr:col>9</xdr:col>
      <xdr:colOff>158514</xdr:colOff>
      <xdr:row>1573</xdr:row>
      <xdr:rowOff>13671</xdr:rowOff>
    </xdr:from>
    <xdr:to>
      <xdr:col>10</xdr:col>
      <xdr:colOff>249114</xdr:colOff>
      <xdr:row>1574</xdr:row>
      <xdr:rowOff>157430</xdr:rowOff>
    </xdr:to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AC199D88-A00A-44D4-B212-8B63B7E10E26}"/>
            </a:ext>
          </a:extLst>
        </xdr:cNvPr>
        <xdr:cNvSpPr txBox="1"/>
      </xdr:nvSpPr>
      <xdr:spPr>
        <a:xfrm>
          <a:off x="5061818" y="224563475"/>
          <a:ext cx="529579" cy="325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Arial" panose="020B0604020202020204" pitchFamily="34" charset="0"/>
              <a:ea typeface="Roboto" panose="02000000000000000000" pitchFamily="2" charset="0"/>
              <a:cs typeface="Arial" panose="020B0604020202020204" pitchFamily="34" charset="0"/>
            </a:rPr>
            <a:t>00-</a:t>
          </a:r>
          <a:endParaRPr lang="en-US" sz="1600">
            <a:solidFill>
              <a:srgbClr val="FF0000"/>
            </a:solidFill>
            <a:latin typeface="Arial" panose="020B0604020202020204" pitchFamily="34" charset="0"/>
            <a:ea typeface="Roboto" panose="02000000000000000000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322385</xdr:colOff>
      <xdr:row>1569</xdr:row>
      <xdr:rowOff>52711</xdr:rowOff>
    </xdr:from>
    <xdr:to>
      <xdr:col>12</xdr:col>
      <xdr:colOff>0</xdr:colOff>
      <xdr:row>1571</xdr:row>
      <xdr:rowOff>80211</xdr:rowOff>
    </xdr:to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7876C0E4-CDDF-4959-A279-6B954EBF374D}"/>
            </a:ext>
          </a:extLst>
        </xdr:cNvPr>
        <xdr:cNvSpPr txBox="1"/>
      </xdr:nvSpPr>
      <xdr:spPr>
        <a:xfrm>
          <a:off x="910450" y="223873646"/>
          <a:ext cx="5790180" cy="39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CALLE AYACUCHO, CASA Nro 36, SECTOR CASCO CENTRAL. CABIMAS - EDO. ZULIA ZONA POSTAL 4013          </a:t>
          </a:r>
        </a:p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TELF.: (0264) 241.65.04 - E-MAIL: LLLIMPORTCA@GMAIL.COM</a:t>
          </a:r>
        </a:p>
      </xdr:txBody>
    </xdr:sp>
    <xdr:clientData/>
  </xdr:twoCellAnchor>
  <xdr:twoCellAnchor>
    <xdr:from>
      <xdr:col>2</xdr:col>
      <xdr:colOff>122464</xdr:colOff>
      <xdr:row>1571</xdr:row>
      <xdr:rowOff>78241</xdr:rowOff>
    </xdr:from>
    <xdr:to>
      <xdr:col>11</xdr:col>
      <xdr:colOff>488156</xdr:colOff>
      <xdr:row>1571</xdr:row>
      <xdr:rowOff>83343</xdr:rowOff>
    </xdr:to>
    <xdr:cxnSp macro="">
      <xdr:nvCxnSpPr>
        <xdr:cNvPr id="322" name="Straight Connector 321">
          <a:extLst>
            <a:ext uri="{FF2B5EF4-FFF2-40B4-BE49-F238E27FC236}">
              <a16:creationId xmlns:a16="http://schemas.microsoft.com/office/drawing/2014/main" id="{8A4F7220-FB7C-49F2-B92D-00D73AA91630}"/>
            </a:ext>
          </a:extLst>
        </xdr:cNvPr>
        <xdr:cNvCxnSpPr/>
      </xdr:nvCxnSpPr>
      <xdr:spPr>
        <a:xfrm>
          <a:off x="1240616" y="224263611"/>
          <a:ext cx="5360105" cy="510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119503</xdr:colOff>
      <xdr:row>1571</xdr:row>
      <xdr:rowOff>32085</xdr:rowOff>
    </xdr:from>
    <xdr:to>
      <xdr:col>11</xdr:col>
      <xdr:colOff>482203</xdr:colOff>
      <xdr:row>1571</xdr:row>
      <xdr:rowOff>35718</xdr:rowOff>
    </xdr:to>
    <xdr:cxnSp macro="">
      <xdr:nvCxnSpPr>
        <xdr:cNvPr id="323" name="Straight Connector 322">
          <a:extLst>
            <a:ext uri="{FF2B5EF4-FFF2-40B4-BE49-F238E27FC236}">
              <a16:creationId xmlns:a16="http://schemas.microsoft.com/office/drawing/2014/main" id="{05BCC6BC-51DC-4D56-955F-072D4E7418DD}"/>
            </a:ext>
          </a:extLst>
        </xdr:cNvPr>
        <xdr:cNvCxnSpPr/>
      </xdr:nvCxnSpPr>
      <xdr:spPr>
        <a:xfrm>
          <a:off x="1237655" y="224217455"/>
          <a:ext cx="5357113" cy="363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325589</xdr:colOff>
      <xdr:row>1614</xdr:row>
      <xdr:rowOff>21979</xdr:rowOff>
    </xdr:from>
    <xdr:to>
      <xdr:col>11</xdr:col>
      <xdr:colOff>315515</xdr:colOff>
      <xdr:row>1615</xdr:row>
      <xdr:rowOff>152948</xdr:rowOff>
    </xdr:to>
    <xdr:sp macro="" textlink="">
      <xdr:nvSpPr>
        <xdr:cNvPr id="324" name="Rectangle: Rounded Corners 323">
          <a:extLst>
            <a:ext uri="{FF2B5EF4-FFF2-40B4-BE49-F238E27FC236}">
              <a16:creationId xmlns:a16="http://schemas.microsoft.com/office/drawing/2014/main" id="{BEBCAF85-227C-4908-B678-91FB42012A01}"/>
            </a:ext>
          </a:extLst>
        </xdr:cNvPr>
        <xdr:cNvSpPr/>
      </xdr:nvSpPr>
      <xdr:spPr>
        <a:xfrm>
          <a:off x="325589" y="232050979"/>
          <a:ext cx="6102491" cy="304904"/>
        </a:xfrm>
        <a:prstGeom prst="roundRect">
          <a:avLst/>
        </a:prstGeom>
        <a:noFill/>
        <a:ln w="2857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249115</xdr:colOff>
      <xdr:row>1609</xdr:row>
      <xdr:rowOff>175846</xdr:rowOff>
    </xdr:from>
    <xdr:to>
      <xdr:col>4</xdr:col>
      <xdr:colOff>395654</xdr:colOff>
      <xdr:row>1609</xdr:row>
      <xdr:rowOff>175846</xdr:rowOff>
    </xdr:to>
    <xdr:cxnSp macro="">
      <xdr:nvCxnSpPr>
        <xdr:cNvPr id="325" name="Straight Connector 324">
          <a:extLst>
            <a:ext uri="{FF2B5EF4-FFF2-40B4-BE49-F238E27FC236}">
              <a16:creationId xmlns:a16="http://schemas.microsoft.com/office/drawing/2014/main" id="{C4334465-3449-48EE-928F-03B05A9CE7E3}"/>
            </a:ext>
          </a:extLst>
        </xdr:cNvPr>
        <xdr:cNvCxnSpPr/>
      </xdr:nvCxnSpPr>
      <xdr:spPr>
        <a:xfrm>
          <a:off x="1367267" y="231293759"/>
          <a:ext cx="1430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30088</xdr:colOff>
      <xdr:row>1620</xdr:row>
      <xdr:rowOff>85396</xdr:rowOff>
    </xdr:from>
    <xdr:to>
      <xdr:col>3</xdr:col>
      <xdr:colOff>95779</xdr:colOff>
      <xdr:row>1621</xdr:row>
      <xdr:rowOff>59122</xdr:rowOff>
    </xdr:to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DCEE27ED-A188-42A5-BD67-39390E9D246F}"/>
            </a:ext>
          </a:extLst>
        </xdr:cNvPr>
        <xdr:cNvSpPr txBox="1"/>
      </xdr:nvSpPr>
      <xdr:spPr>
        <a:xfrm>
          <a:off x="1148240" y="233215983"/>
          <a:ext cx="736582" cy="155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>
              <a:latin typeface="Arial" panose="020B0604020202020204" pitchFamily="34" charset="0"/>
              <a:cs typeface="Arial" panose="020B0604020202020204" pitchFamily="34" charset="0"/>
            </a:rPr>
            <a:t>J-40542036-0</a:t>
          </a:r>
        </a:p>
      </xdr:txBody>
    </xdr:sp>
    <xdr:clientData/>
  </xdr:twoCellAnchor>
  <xdr:twoCellAnchor>
    <xdr:from>
      <xdr:col>5</xdr:col>
      <xdr:colOff>974405</xdr:colOff>
      <xdr:row>1622</xdr:row>
      <xdr:rowOff>13784</xdr:rowOff>
    </xdr:from>
    <xdr:to>
      <xdr:col>9</xdr:col>
      <xdr:colOff>156610</xdr:colOff>
      <xdr:row>1624</xdr:row>
      <xdr:rowOff>29308</xdr:rowOff>
    </xdr:to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80CF8E3F-C67A-4379-B2A0-1B45A253D48B}"/>
            </a:ext>
          </a:extLst>
        </xdr:cNvPr>
        <xdr:cNvSpPr txBox="1"/>
      </xdr:nvSpPr>
      <xdr:spPr>
        <a:xfrm>
          <a:off x="4014122" y="233508806"/>
          <a:ext cx="1045792" cy="3799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FORMA LIBRE</a:t>
          </a:r>
        </a:p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N° de Control</a:t>
          </a:r>
        </a:p>
      </xdr:txBody>
    </xdr:sp>
    <xdr:clientData/>
  </xdr:twoCellAnchor>
  <xdr:twoCellAnchor>
    <xdr:from>
      <xdr:col>9</xdr:col>
      <xdr:colOff>158514</xdr:colOff>
      <xdr:row>1622</xdr:row>
      <xdr:rowOff>13671</xdr:rowOff>
    </xdr:from>
    <xdr:to>
      <xdr:col>10</xdr:col>
      <xdr:colOff>249114</xdr:colOff>
      <xdr:row>1623</xdr:row>
      <xdr:rowOff>157430</xdr:rowOff>
    </xdr:to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744B9274-8BD4-4A9B-B9A3-8212C3DB438D}"/>
            </a:ext>
          </a:extLst>
        </xdr:cNvPr>
        <xdr:cNvSpPr txBox="1"/>
      </xdr:nvSpPr>
      <xdr:spPr>
        <a:xfrm>
          <a:off x="5061818" y="233508693"/>
          <a:ext cx="529579" cy="325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Arial" panose="020B0604020202020204" pitchFamily="34" charset="0"/>
              <a:ea typeface="Roboto" panose="02000000000000000000" pitchFamily="2" charset="0"/>
              <a:cs typeface="Arial" panose="020B0604020202020204" pitchFamily="34" charset="0"/>
            </a:rPr>
            <a:t>00-</a:t>
          </a:r>
          <a:endParaRPr lang="en-US" sz="1600">
            <a:solidFill>
              <a:srgbClr val="FF0000"/>
            </a:solidFill>
            <a:latin typeface="Arial" panose="020B0604020202020204" pitchFamily="34" charset="0"/>
            <a:ea typeface="Roboto" panose="02000000000000000000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322385</xdr:colOff>
      <xdr:row>1618</xdr:row>
      <xdr:rowOff>52711</xdr:rowOff>
    </xdr:from>
    <xdr:to>
      <xdr:col>12</xdr:col>
      <xdr:colOff>0</xdr:colOff>
      <xdr:row>1620</xdr:row>
      <xdr:rowOff>80211</xdr:rowOff>
    </xdr:to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101EDA10-9167-4FF1-A67F-D7814ACE90A7}"/>
            </a:ext>
          </a:extLst>
        </xdr:cNvPr>
        <xdr:cNvSpPr txBox="1"/>
      </xdr:nvSpPr>
      <xdr:spPr>
        <a:xfrm>
          <a:off x="910450" y="232818863"/>
          <a:ext cx="5790180" cy="39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CALLE AYACUCHO, CASA Nro 36, SECTOR CASCO CENTRAL. CABIMAS - EDO. ZULIA ZONA POSTAL 4013          </a:t>
          </a:r>
        </a:p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TELF.: (0264) 241.65.04 - E-MAIL: LLLIMPORTCA@GMAIL.COM</a:t>
          </a:r>
        </a:p>
      </xdr:txBody>
    </xdr:sp>
    <xdr:clientData/>
  </xdr:twoCellAnchor>
  <xdr:twoCellAnchor>
    <xdr:from>
      <xdr:col>2</xdr:col>
      <xdr:colOff>122464</xdr:colOff>
      <xdr:row>1620</xdr:row>
      <xdr:rowOff>78241</xdr:rowOff>
    </xdr:from>
    <xdr:to>
      <xdr:col>11</xdr:col>
      <xdr:colOff>488156</xdr:colOff>
      <xdr:row>1620</xdr:row>
      <xdr:rowOff>83343</xdr:rowOff>
    </xdr:to>
    <xdr:cxnSp macro="">
      <xdr:nvCxnSpPr>
        <xdr:cNvPr id="330" name="Straight Connector 329">
          <a:extLst>
            <a:ext uri="{FF2B5EF4-FFF2-40B4-BE49-F238E27FC236}">
              <a16:creationId xmlns:a16="http://schemas.microsoft.com/office/drawing/2014/main" id="{2B078C75-DAE2-4783-AE13-AE8E56CB90F8}"/>
            </a:ext>
          </a:extLst>
        </xdr:cNvPr>
        <xdr:cNvCxnSpPr/>
      </xdr:nvCxnSpPr>
      <xdr:spPr>
        <a:xfrm>
          <a:off x="1240616" y="233208828"/>
          <a:ext cx="5360105" cy="510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119503</xdr:colOff>
      <xdr:row>1620</xdr:row>
      <xdr:rowOff>32085</xdr:rowOff>
    </xdr:from>
    <xdr:to>
      <xdr:col>11</xdr:col>
      <xdr:colOff>482203</xdr:colOff>
      <xdr:row>1620</xdr:row>
      <xdr:rowOff>35718</xdr:rowOff>
    </xdr:to>
    <xdr:cxnSp macro="">
      <xdr:nvCxnSpPr>
        <xdr:cNvPr id="331" name="Straight Connector 330">
          <a:extLst>
            <a:ext uri="{FF2B5EF4-FFF2-40B4-BE49-F238E27FC236}">
              <a16:creationId xmlns:a16="http://schemas.microsoft.com/office/drawing/2014/main" id="{038DBBF3-AD92-4636-9718-B60B596A3CC9}"/>
            </a:ext>
          </a:extLst>
        </xdr:cNvPr>
        <xdr:cNvCxnSpPr/>
      </xdr:nvCxnSpPr>
      <xdr:spPr>
        <a:xfrm>
          <a:off x="1237655" y="233162672"/>
          <a:ext cx="5357113" cy="363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325589</xdr:colOff>
      <xdr:row>1663</xdr:row>
      <xdr:rowOff>21979</xdr:rowOff>
    </xdr:from>
    <xdr:to>
      <xdr:col>11</xdr:col>
      <xdr:colOff>315515</xdr:colOff>
      <xdr:row>1664</xdr:row>
      <xdr:rowOff>152948</xdr:rowOff>
    </xdr:to>
    <xdr:sp macro="" textlink="">
      <xdr:nvSpPr>
        <xdr:cNvPr id="332" name="Rectangle: Rounded Corners 331">
          <a:extLst>
            <a:ext uri="{FF2B5EF4-FFF2-40B4-BE49-F238E27FC236}">
              <a16:creationId xmlns:a16="http://schemas.microsoft.com/office/drawing/2014/main" id="{E60A39D7-DEA0-4863-AE97-7377D77AFA94}"/>
            </a:ext>
          </a:extLst>
        </xdr:cNvPr>
        <xdr:cNvSpPr/>
      </xdr:nvSpPr>
      <xdr:spPr>
        <a:xfrm>
          <a:off x="325589" y="240996196"/>
          <a:ext cx="6102491" cy="304904"/>
        </a:xfrm>
        <a:prstGeom prst="roundRect">
          <a:avLst/>
        </a:prstGeom>
        <a:noFill/>
        <a:ln w="2857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249115</xdr:colOff>
      <xdr:row>1658</xdr:row>
      <xdr:rowOff>175846</xdr:rowOff>
    </xdr:from>
    <xdr:to>
      <xdr:col>4</xdr:col>
      <xdr:colOff>395654</xdr:colOff>
      <xdr:row>1658</xdr:row>
      <xdr:rowOff>175846</xdr:rowOff>
    </xdr:to>
    <xdr:cxnSp macro="">
      <xdr:nvCxnSpPr>
        <xdr:cNvPr id="333" name="Straight Connector 332">
          <a:extLst>
            <a:ext uri="{FF2B5EF4-FFF2-40B4-BE49-F238E27FC236}">
              <a16:creationId xmlns:a16="http://schemas.microsoft.com/office/drawing/2014/main" id="{49385061-8497-4E93-931E-BB1031176AD6}"/>
            </a:ext>
          </a:extLst>
        </xdr:cNvPr>
        <xdr:cNvCxnSpPr/>
      </xdr:nvCxnSpPr>
      <xdr:spPr>
        <a:xfrm>
          <a:off x="1367267" y="240238976"/>
          <a:ext cx="1430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30088</xdr:colOff>
      <xdr:row>1669</xdr:row>
      <xdr:rowOff>85396</xdr:rowOff>
    </xdr:from>
    <xdr:to>
      <xdr:col>3</xdr:col>
      <xdr:colOff>95779</xdr:colOff>
      <xdr:row>1670</xdr:row>
      <xdr:rowOff>59122</xdr:rowOff>
    </xdr:to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D613C72B-2152-4C94-852A-17D99DF027F3}"/>
            </a:ext>
          </a:extLst>
        </xdr:cNvPr>
        <xdr:cNvSpPr txBox="1"/>
      </xdr:nvSpPr>
      <xdr:spPr>
        <a:xfrm>
          <a:off x="1148240" y="242161200"/>
          <a:ext cx="736582" cy="1559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>
              <a:latin typeface="Arial" panose="020B0604020202020204" pitchFamily="34" charset="0"/>
              <a:cs typeface="Arial" panose="020B0604020202020204" pitchFamily="34" charset="0"/>
            </a:rPr>
            <a:t>J-40542036-0</a:t>
          </a:r>
        </a:p>
      </xdr:txBody>
    </xdr:sp>
    <xdr:clientData/>
  </xdr:twoCellAnchor>
  <xdr:twoCellAnchor>
    <xdr:from>
      <xdr:col>5</xdr:col>
      <xdr:colOff>974405</xdr:colOff>
      <xdr:row>1671</xdr:row>
      <xdr:rowOff>13784</xdr:rowOff>
    </xdr:from>
    <xdr:to>
      <xdr:col>9</xdr:col>
      <xdr:colOff>156610</xdr:colOff>
      <xdr:row>1673</xdr:row>
      <xdr:rowOff>29308</xdr:rowOff>
    </xdr:to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54EE77A5-7015-4212-A540-4AAEDE48CE10}"/>
            </a:ext>
          </a:extLst>
        </xdr:cNvPr>
        <xdr:cNvSpPr txBox="1"/>
      </xdr:nvSpPr>
      <xdr:spPr>
        <a:xfrm>
          <a:off x="4014122" y="242454023"/>
          <a:ext cx="1045792" cy="3799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FORMA LIBRE</a:t>
          </a:r>
        </a:p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N° de Control</a:t>
          </a:r>
        </a:p>
      </xdr:txBody>
    </xdr:sp>
    <xdr:clientData/>
  </xdr:twoCellAnchor>
  <xdr:twoCellAnchor>
    <xdr:from>
      <xdr:col>9</xdr:col>
      <xdr:colOff>158514</xdr:colOff>
      <xdr:row>1671</xdr:row>
      <xdr:rowOff>13671</xdr:rowOff>
    </xdr:from>
    <xdr:to>
      <xdr:col>10</xdr:col>
      <xdr:colOff>249114</xdr:colOff>
      <xdr:row>1672</xdr:row>
      <xdr:rowOff>157430</xdr:rowOff>
    </xdr:to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400BBAE5-1F53-422C-B23B-4ED00E8C077A}"/>
            </a:ext>
          </a:extLst>
        </xdr:cNvPr>
        <xdr:cNvSpPr txBox="1"/>
      </xdr:nvSpPr>
      <xdr:spPr>
        <a:xfrm>
          <a:off x="5061818" y="242453910"/>
          <a:ext cx="529579" cy="325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Arial" panose="020B0604020202020204" pitchFamily="34" charset="0"/>
              <a:ea typeface="Roboto" panose="02000000000000000000" pitchFamily="2" charset="0"/>
              <a:cs typeface="Arial" panose="020B0604020202020204" pitchFamily="34" charset="0"/>
            </a:rPr>
            <a:t>00-</a:t>
          </a:r>
          <a:endParaRPr lang="en-US" sz="1600">
            <a:solidFill>
              <a:srgbClr val="FF0000"/>
            </a:solidFill>
            <a:latin typeface="Arial" panose="020B0604020202020204" pitchFamily="34" charset="0"/>
            <a:ea typeface="Roboto" panose="02000000000000000000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322385</xdr:colOff>
      <xdr:row>1667</xdr:row>
      <xdr:rowOff>52711</xdr:rowOff>
    </xdr:from>
    <xdr:to>
      <xdr:col>12</xdr:col>
      <xdr:colOff>0</xdr:colOff>
      <xdr:row>1669</xdr:row>
      <xdr:rowOff>80211</xdr:rowOff>
    </xdr:to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094508E1-96EB-47E4-BE66-AF871E38D46A}"/>
            </a:ext>
          </a:extLst>
        </xdr:cNvPr>
        <xdr:cNvSpPr txBox="1"/>
      </xdr:nvSpPr>
      <xdr:spPr>
        <a:xfrm>
          <a:off x="910450" y="241764081"/>
          <a:ext cx="5790180" cy="3919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CALLE AYACUCHO, CASA Nro 36, SECTOR CASCO CENTRAL. CABIMAS - EDO. ZULIA ZONA POSTAL 4013          </a:t>
          </a:r>
        </a:p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TELF.: (0264) 241.65.04 - E-MAIL: LLLIMPORTCA@GMAIL.COM</a:t>
          </a:r>
        </a:p>
      </xdr:txBody>
    </xdr:sp>
    <xdr:clientData/>
  </xdr:twoCellAnchor>
  <xdr:twoCellAnchor>
    <xdr:from>
      <xdr:col>2</xdr:col>
      <xdr:colOff>122464</xdr:colOff>
      <xdr:row>1669</xdr:row>
      <xdr:rowOff>78241</xdr:rowOff>
    </xdr:from>
    <xdr:to>
      <xdr:col>11</xdr:col>
      <xdr:colOff>488156</xdr:colOff>
      <xdr:row>1669</xdr:row>
      <xdr:rowOff>83343</xdr:rowOff>
    </xdr:to>
    <xdr:cxnSp macro="">
      <xdr:nvCxnSpPr>
        <xdr:cNvPr id="338" name="Straight Connector 337">
          <a:extLst>
            <a:ext uri="{FF2B5EF4-FFF2-40B4-BE49-F238E27FC236}">
              <a16:creationId xmlns:a16="http://schemas.microsoft.com/office/drawing/2014/main" id="{C3B3BEB3-F384-43D3-936C-2B752B26DBB0}"/>
            </a:ext>
          </a:extLst>
        </xdr:cNvPr>
        <xdr:cNvCxnSpPr/>
      </xdr:nvCxnSpPr>
      <xdr:spPr>
        <a:xfrm>
          <a:off x="1240616" y="242154045"/>
          <a:ext cx="5360105" cy="510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119503</xdr:colOff>
      <xdr:row>1669</xdr:row>
      <xdr:rowOff>32085</xdr:rowOff>
    </xdr:from>
    <xdr:to>
      <xdr:col>11</xdr:col>
      <xdr:colOff>482203</xdr:colOff>
      <xdr:row>1669</xdr:row>
      <xdr:rowOff>35718</xdr:rowOff>
    </xdr:to>
    <xdr:cxnSp macro="">
      <xdr:nvCxnSpPr>
        <xdr:cNvPr id="339" name="Straight Connector 338">
          <a:extLst>
            <a:ext uri="{FF2B5EF4-FFF2-40B4-BE49-F238E27FC236}">
              <a16:creationId xmlns:a16="http://schemas.microsoft.com/office/drawing/2014/main" id="{825D6384-9F16-4933-8546-463EC8335F6C}"/>
            </a:ext>
          </a:extLst>
        </xdr:cNvPr>
        <xdr:cNvCxnSpPr/>
      </xdr:nvCxnSpPr>
      <xdr:spPr>
        <a:xfrm>
          <a:off x="1237655" y="242107889"/>
          <a:ext cx="5357113" cy="363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325589</xdr:colOff>
      <xdr:row>1712</xdr:row>
      <xdr:rowOff>21979</xdr:rowOff>
    </xdr:from>
    <xdr:to>
      <xdr:col>11</xdr:col>
      <xdr:colOff>315515</xdr:colOff>
      <xdr:row>1713</xdr:row>
      <xdr:rowOff>152948</xdr:rowOff>
    </xdr:to>
    <xdr:sp macro="" textlink="">
      <xdr:nvSpPr>
        <xdr:cNvPr id="340" name="Rectangle: Rounded Corners 339">
          <a:extLst>
            <a:ext uri="{FF2B5EF4-FFF2-40B4-BE49-F238E27FC236}">
              <a16:creationId xmlns:a16="http://schemas.microsoft.com/office/drawing/2014/main" id="{E57DE55E-E5C7-4E7C-A633-A5400406F04C}"/>
            </a:ext>
          </a:extLst>
        </xdr:cNvPr>
        <xdr:cNvSpPr/>
      </xdr:nvSpPr>
      <xdr:spPr>
        <a:xfrm>
          <a:off x="325589" y="249941414"/>
          <a:ext cx="6102491" cy="304904"/>
        </a:xfrm>
        <a:prstGeom prst="roundRect">
          <a:avLst/>
        </a:prstGeom>
        <a:noFill/>
        <a:ln w="2857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249115</xdr:colOff>
      <xdr:row>1707</xdr:row>
      <xdr:rowOff>175846</xdr:rowOff>
    </xdr:from>
    <xdr:to>
      <xdr:col>4</xdr:col>
      <xdr:colOff>395654</xdr:colOff>
      <xdr:row>1707</xdr:row>
      <xdr:rowOff>175846</xdr:rowOff>
    </xdr:to>
    <xdr:cxnSp macro="">
      <xdr:nvCxnSpPr>
        <xdr:cNvPr id="341" name="Straight Connector 340">
          <a:extLst>
            <a:ext uri="{FF2B5EF4-FFF2-40B4-BE49-F238E27FC236}">
              <a16:creationId xmlns:a16="http://schemas.microsoft.com/office/drawing/2014/main" id="{040620E3-85E1-47F9-9D98-696C72F25FD8}"/>
            </a:ext>
          </a:extLst>
        </xdr:cNvPr>
        <xdr:cNvCxnSpPr/>
      </xdr:nvCxnSpPr>
      <xdr:spPr>
        <a:xfrm>
          <a:off x="1367267" y="249184194"/>
          <a:ext cx="1430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30088</xdr:colOff>
      <xdr:row>1718</xdr:row>
      <xdr:rowOff>85396</xdr:rowOff>
    </xdr:from>
    <xdr:to>
      <xdr:col>3</xdr:col>
      <xdr:colOff>95779</xdr:colOff>
      <xdr:row>1719</xdr:row>
      <xdr:rowOff>59122</xdr:rowOff>
    </xdr:to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72FBDCC5-314E-4EC6-AFBC-021CEF936DA7}"/>
            </a:ext>
          </a:extLst>
        </xdr:cNvPr>
        <xdr:cNvSpPr txBox="1"/>
      </xdr:nvSpPr>
      <xdr:spPr>
        <a:xfrm>
          <a:off x="1148240" y="251106418"/>
          <a:ext cx="736582" cy="155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>
              <a:latin typeface="Arial" panose="020B0604020202020204" pitchFamily="34" charset="0"/>
              <a:cs typeface="Arial" panose="020B0604020202020204" pitchFamily="34" charset="0"/>
            </a:rPr>
            <a:t>J-40542036-0</a:t>
          </a:r>
        </a:p>
      </xdr:txBody>
    </xdr:sp>
    <xdr:clientData/>
  </xdr:twoCellAnchor>
  <xdr:twoCellAnchor>
    <xdr:from>
      <xdr:col>5</xdr:col>
      <xdr:colOff>974405</xdr:colOff>
      <xdr:row>1720</xdr:row>
      <xdr:rowOff>13784</xdr:rowOff>
    </xdr:from>
    <xdr:to>
      <xdr:col>9</xdr:col>
      <xdr:colOff>156610</xdr:colOff>
      <xdr:row>1722</xdr:row>
      <xdr:rowOff>29308</xdr:rowOff>
    </xdr:to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038DFC4C-DE65-431B-9053-D3DBD0FBAC9A}"/>
            </a:ext>
          </a:extLst>
        </xdr:cNvPr>
        <xdr:cNvSpPr txBox="1"/>
      </xdr:nvSpPr>
      <xdr:spPr>
        <a:xfrm>
          <a:off x="4014122" y="251399241"/>
          <a:ext cx="1045792" cy="37995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FORMA LIBRE</a:t>
          </a:r>
        </a:p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N° de Control</a:t>
          </a:r>
        </a:p>
      </xdr:txBody>
    </xdr:sp>
    <xdr:clientData/>
  </xdr:twoCellAnchor>
  <xdr:twoCellAnchor>
    <xdr:from>
      <xdr:col>9</xdr:col>
      <xdr:colOff>158514</xdr:colOff>
      <xdr:row>1720</xdr:row>
      <xdr:rowOff>13671</xdr:rowOff>
    </xdr:from>
    <xdr:to>
      <xdr:col>10</xdr:col>
      <xdr:colOff>249114</xdr:colOff>
      <xdr:row>1721</xdr:row>
      <xdr:rowOff>157430</xdr:rowOff>
    </xdr:to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73292BAB-7541-4361-9B53-60A330EFA415}"/>
            </a:ext>
          </a:extLst>
        </xdr:cNvPr>
        <xdr:cNvSpPr txBox="1"/>
      </xdr:nvSpPr>
      <xdr:spPr>
        <a:xfrm>
          <a:off x="5061818" y="251399128"/>
          <a:ext cx="529579" cy="325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Arial" panose="020B0604020202020204" pitchFamily="34" charset="0"/>
              <a:ea typeface="Roboto" panose="02000000000000000000" pitchFamily="2" charset="0"/>
              <a:cs typeface="Arial" panose="020B0604020202020204" pitchFamily="34" charset="0"/>
            </a:rPr>
            <a:t>00-</a:t>
          </a:r>
          <a:endParaRPr lang="en-US" sz="1600">
            <a:solidFill>
              <a:srgbClr val="FF0000"/>
            </a:solidFill>
            <a:latin typeface="Arial" panose="020B0604020202020204" pitchFamily="34" charset="0"/>
            <a:ea typeface="Roboto" panose="02000000000000000000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322385</xdr:colOff>
      <xdr:row>1716</xdr:row>
      <xdr:rowOff>52711</xdr:rowOff>
    </xdr:from>
    <xdr:to>
      <xdr:col>12</xdr:col>
      <xdr:colOff>0</xdr:colOff>
      <xdr:row>1718</xdr:row>
      <xdr:rowOff>80211</xdr:rowOff>
    </xdr:to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B8262A00-D836-4934-A504-2D240C74C55E}"/>
            </a:ext>
          </a:extLst>
        </xdr:cNvPr>
        <xdr:cNvSpPr txBox="1"/>
      </xdr:nvSpPr>
      <xdr:spPr>
        <a:xfrm>
          <a:off x="910450" y="250709298"/>
          <a:ext cx="5790180" cy="39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CALLE AYACUCHO, CASA Nro 36, SECTOR CASCO CENTRAL. CABIMAS - EDO. ZULIA ZONA POSTAL 4013          </a:t>
          </a:r>
        </a:p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TELF.: (0264) 241.65.04 - E-MAIL: LLLIMPORTCA@GMAIL.COM</a:t>
          </a:r>
        </a:p>
      </xdr:txBody>
    </xdr:sp>
    <xdr:clientData/>
  </xdr:twoCellAnchor>
  <xdr:twoCellAnchor>
    <xdr:from>
      <xdr:col>2</xdr:col>
      <xdr:colOff>122464</xdr:colOff>
      <xdr:row>1718</xdr:row>
      <xdr:rowOff>78241</xdr:rowOff>
    </xdr:from>
    <xdr:to>
      <xdr:col>11</xdr:col>
      <xdr:colOff>488156</xdr:colOff>
      <xdr:row>1718</xdr:row>
      <xdr:rowOff>83343</xdr:rowOff>
    </xdr:to>
    <xdr:cxnSp macro="">
      <xdr:nvCxnSpPr>
        <xdr:cNvPr id="346" name="Straight Connector 345">
          <a:extLst>
            <a:ext uri="{FF2B5EF4-FFF2-40B4-BE49-F238E27FC236}">
              <a16:creationId xmlns:a16="http://schemas.microsoft.com/office/drawing/2014/main" id="{47BBEEC7-0FE6-4A70-9A83-B2AE9296BD53}"/>
            </a:ext>
          </a:extLst>
        </xdr:cNvPr>
        <xdr:cNvCxnSpPr/>
      </xdr:nvCxnSpPr>
      <xdr:spPr>
        <a:xfrm>
          <a:off x="1240616" y="251099263"/>
          <a:ext cx="5360105" cy="510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119503</xdr:colOff>
      <xdr:row>1718</xdr:row>
      <xdr:rowOff>32085</xdr:rowOff>
    </xdr:from>
    <xdr:to>
      <xdr:col>11</xdr:col>
      <xdr:colOff>482203</xdr:colOff>
      <xdr:row>1718</xdr:row>
      <xdr:rowOff>35718</xdr:rowOff>
    </xdr:to>
    <xdr:cxnSp macro="">
      <xdr:nvCxnSpPr>
        <xdr:cNvPr id="347" name="Straight Connector 346">
          <a:extLst>
            <a:ext uri="{FF2B5EF4-FFF2-40B4-BE49-F238E27FC236}">
              <a16:creationId xmlns:a16="http://schemas.microsoft.com/office/drawing/2014/main" id="{7718506E-51DC-497E-9FB4-1E7116B634B1}"/>
            </a:ext>
          </a:extLst>
        </xdr:cNvPr>
        <xdr:cNvCxnSpPr/>
      </xdr:nvCxnSpPr>
      <xdr:spPr>
        <a:xfrm>
          <a:off x="1237655" y="251053107"/>
          <a:ext cx="5357113" cy="363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325589</xdr:colOff>
      <xdr:row>1761</xdr:row>
      <xdr:rowOff>21979</xdr:rowOff>
    </xdr:from>
    <xdr:to>
      <xdr:col>11</xdr:col>
      <xdr:colOff>315515</xdr:colOff>
      <xdr:row>1762</xdr:row>
      <xdr:rowOff>152948</xdr:rowOff>
    </xdr:to>
    <xdr:sp macro="" textlink="">
      <xdr:nvSpPr>
        <xdr:cNvPr id="348" name="Rectangle: Rounded Corners 347">
          <a:extLst>
            <a:ext uri="{FF2B5EF4-FFF2-40B4-BE49-F238E27FC236}">
              <a16:creationId xmlns:a16="http://schemas.microsoft.com/office/drawing/2014/main" id="{EDFB3FD7-4210-47C3-901B-4FF74F0AFA62}"/>
            </a:ext>
          </a:extLst>
        </xdr:cNvPr>
        <xdr:cNvSpPr/>
      </xdr:nvSpPr>
      <xdr:spPr>
        <a:xfrm>
          <a:off x="325589" y="258886631"/>
          <a:ext cx="6102491" cy="304904"/>
        </a:xfrm>
        <a:prstGeom prst="roundRect">
          <a:avLst/>
        </a:prstGeom>
        <a:noFill/>
        <a:ln w="2857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249115</xdr:colOff>
      <xdr:row>1756</xdr:row>
      <xdr:rowOff>175846</xdr:rowOff>
    </xdr:from>
    <xdr:to>
      <xdr:col>4</xdr:col>
      <xdr:colOff>395654</xdr:colOff>
      <xdr:row>1756</xdr:row>
      <xdr:rowOff>175846</xdr:rowOff>
    </xdr:to>
    <xdr:cxnSp macro="">
      <xdr:nvCxnSpPr>
        <xdr:cNvPr id="349" name="Straight Connector 348">
          <a:extLst>
            <a:ext uri="{FF2B5EF4-FFF2-40B4-BE49-F238E27FC236}">
              <a16:creationId xmlns:a16="http://schemas.microsoft.com/office/drawing/2014/main" id="{50CBD02D-DF98-4C10-A279-FEE1355679D2}"/>
            </a:ext>
          </a:extLst>
        </xdr:cNvPr>
        <xdr:cNvCxnSpPr/>
      </xdr:nvCxnSpPr>
      <xdr:spPr>
        <a:xfrm>
          <a:off x="1367267" y="258129411"/>
          <a:ext cx="1430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30088</xdr:colOff>
      <xdr:row>1767</xdr:row>
      <xdr:rowOff>85396</xdr:rowOff>
    </xdr:from>
    <xdr:to>
      <xdr:col>3</xdr:col>
      <xdr:colOff>95779</xdr:colOff>
      <xdr:row>1768</xdr:row>
      <xdr:rowOff>59122</xdr:rowOff>
    </xdr:to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20330C11-EEF1-449C-A92A-D3C3796AFFE2}"/>
            </a:ext>
          </a:extLst>
        </xdr:cNvPr>
        <xdr:cNvSpPr txBox="1"/>
      </xdr:nvSpPr>
      <xdr:spPr>
        <a:xfrm>
          <a:off x="1148240" y="260051635"/>
          <a:ext cx="736582" cy="1559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>
              <a:latin typeface="Arial" panose="020B0604020202020204" pitchFamily="34" charset="0"/>
              <a:cs typeface="Arial" panose="020B0604020202020204" pitchFamily="34" charset="0"/>
            </a:rPr>
            <a:t>J-40542036-0</a:t>
          </a:r>
        </a:p>
      </xdr:txBody>
    </xdr:sp>
    <xdr:clientData/>
  </xdr:twoCellAnchor>
  <xdr:twoCellAnchor>
    <xdr:from>
      <xdr:col>5</xdr:col>
      <xdr:colOff>974405</xdr:colOff>
      <xdr:row>1769</xdr:row>
      <xdr:rowOff>13784</xdr:rowOff>
    </xdr:from>
    <xdr:to>
      <xdr:col>9</xdr:col>
      <xdr:colOff>156610</xdr:colOff>
      <xdr:row>1771</xdr:row>
      <xdr:rowOff>29308</xdr:rowOff>
    </xdr:to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E76ADEF1-6FC0-43CA-9744-BC9048AA1E77}"/>
            </a:ext>
          </a:extLst>
        </xdr:cNvPr>
        <xdr:cNvSpPr txBox="1"/>
      </xdr:nvSpPr>
      <xdr:spPr>
        <a:xfrm>
          <a:off x="4014122" y="260344458"/>
          <a:ext cx="1045792" cy="3799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FORMA LIBRE</a:t>
          </a:r>
        </a:p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N° de Control</a:t>
          </a:r>
        </a:p>
      </xdr:txBody>
    </xdr:sp>
    <xdr:clientData/>
  </xdr:twoCellAnchor>
  <xdr:twoCellAnchor>
    <xdr:from>
      <xdr:col>9</xdr:col>
      <xdr:colOff>158514</xdr:colOff>
      <xdr:row>1769</xdr:row>
      <xdr:rowOff>13671</xdr:rowOff>
    </xdr:from>
    <xdr:to>
      <xdr:col>10</xdr:col>
      <xdr:colOff>249114</xdr:colOff>
      <xdr:row>1770</xdr:row>
      <xdr:rowOff>157430</xdr:rowOff>
    </xdr:to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DEF64F53-D8E7-4443-AD0B-A2E83C6DC1E6}"/>
            </a:ext>
          </a:extLst>
        </xdr:cNvPr>
        <xdr:cNvSpPr txBox="1"/>
      </xdr:nvSpPr>
      <xdr:spPr>
        <a:xfrm>
          <a:off x="5061818" y="260344345"/>
          <a:ext cx="529579" cy="325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Arial" panose="020B0604020202020204" pitchFamily="34" charset="0"/>
              <a:ea typeface="Roboto" panose="02000000000000000000" pitchFamily="2" charset="0"/>
              <a:cs typeface="Arial" panose="020B0604020202020204" pitchFamily="34" charset="0"/>
            </a:rPr>
            <a:t>00-</a:t>
          </a:r>
          <a:endParaRPr lang="en-US" sz="1600">
            <a:solidFill>
              <a:srgbClr val="FF0000"/>
            </a:solidFill>
            <a:latin typeface="Arial" panose="020B0604020202020204" pitchFamily="34" charset="0"/>
            <a:ea typeface="Roboto" panose="02000000000000000000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322385</xdr:colOff>
      <xdr:row>1765</xdr:row>
      <xdr:rowOff>52711</xdr:rowOff>
    </xdr:from>
    <xdr:to>
      <xdr:col>12</xdr:col>
      <xdr:colOff>0</xdr:colOff>
      <xdr:row>1767</xdr:row>
      <xdr:rowOff>80211</xdr:rowOff>
    </xdr:to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E608E16A-4149-4EB2-BECE-F1C2AB471F8F}"/>
            </a:ext>
          </a:extLst>
        </xdr:cNvPr>
        <xdr:cNvSpPr txBox="1"/>
      </xdr:nvSpPr>
      <xdr:spPr>
        <a:xfrm>
          <a:off x="910450" y="259654515"/>
          <a:ext cx="5790180" cy="39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CALLE AYACUCHO, CASA Nro 36, SECTOR CASCO CENTRAL. CABIMAS - EDO. ZULIA ZONA POSTAL 4013          </a:t>
          </a:r>
        </a:p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TELF.: (0264) 241.65.04 - E-MAIL: LLLIMPORTCA@GMAIL.COM</a:t>
          </a:r>
        </a:p>
      </xdr:txBody>
    </xdr:sp>
    <xdr:clientData/>
  </xdr:twoCellAnchor>
  <xdr:twoCellAnchor>
    <xdr:from>
      <xdr:col>2</xdr:col>
      <xdr:colOff>122464</xdr:colOff>
      <xdr:row>1767</xdr:row>
      <xdr:rowOff>78241</xdr:rowOff>
    </xdr:from>
    <xdr:to>
      <xdr:col>11</xdr:col>
      <xdr:colOff>488156</xdr:colOff>
      <xdr:row>1767</xdr:row>
      <xdr:rowOff>83343</xdr:rowOff>
    </xdr:to>
    <xdr:cxnSp macro="">
      <xdr:nvCxnSpPr>
        <xdr:cNvPr id="354" name="Straight Connector 353">
          <a:extLst>
            <a:ext uri="{FF2B5EF4-FFF2-40B4-BE49-F238E27FC236}">
              <a16:creationId xmlns:a16="http://schemas.microsoft.com/office/drawing/2014/main" id="{9E2E4C67-1702-48C1-AB70-AB1F68175E44}"/>
            </a:ext>
          </a:extLst>
        </xdr:cNvPr>
        <xdr:cNvCxnSpPr/>
      </xdr:nvCxnSpPr>
      <xdr:spPr>
        <a:xfrm>
          <a:off x="1240616" y="260044480"/>
          <a:ext cx="5360105" cy="510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119503</xdr:colOff>
      <xdr:row>1767</xdr:row>
      <xdr:rowOff>32085</xdr:rowOff>
    </xdr:from>
    <xdr:to>
      <xdr:col>11</xdr:col>
      <xdr:colOff>482203</xdr:colOff>
      <xdr:row>1767</xdr:row>
      <xdr:rowOff>35718</xdr:rowOff>
    </xdr:to>
    <xdr:cxnSp macro="">
      <xdr:nvCxnSpPr>
        <xdr:cNvPr id="355" name="Straight Connector 354">
          <a:extLst>
            <a:ext uri="{FF2B5EF4-FFF2-40B4-BE49-F238E27FC236}">
              <a16:creationId xmlns:a16="http://schemas.microsoft.com/office/drawing/2014/main" id="{4005C470-46C6-4BB5-BA13-1003657B2584}"/>
            </a:ext>
          </a:extLst>
        </xdr:cNvPr>
        <xdr:cNvCxnSpPr/>
      </xdr:nvCxnSpPr>
      <xdr:spPr>
        <a:xfrm>
          <a:off x="1237655" y="259998324"/>
          <a:ext cx="5357113" cy="363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325589</xdr:colOff>
      <xdr:row>1810</xdr:row>
      <xdr:rowOff>21979</xdr:rowOff>
    </xdr:from>
    <xdr:to>
      <xdr:col>11</xdr:col>
      <xdr:colOff>315515</xdr:colOff>
      <xdr:row>1811</xdr:row>
      <xdr:rowOff>152948</xdr:rowOff>
    </xdr:to>
    <xdr:sp macro="" textlink="">
      <xdr:nvSpPr>
        <xdr:cNvPr id="356" name="Rectangle: Rounded Corners 355">
          <a:extLst>
            <a:ext uri="{FF2B5EF4-FFF2-40B4-BE49-F238E27FC236}">
              <a16:creationId xmlns:a16="http://schemas.microsoft.com/office/drawing/2014/main" id="{F45B96BE-489D-4DEC-8996-EA3BE7B16CE0}"/>
            </a:ext>
          </a:extLst>
        </xdr:cNvPr>
        <xdr:cNvSpPr/>
      </xdr:nvSpPr>
      <xdr:spPr>
        <a:xfrm>
          <a:off x="325589" y="267831849"/>
          <a:ext cx="6102491" cy="304903"/>
        </a:xfrm>
        <a:prstGeom prst="roundRect">
          <a:avLst/>
        </a:prstGeom>
        <a:noFill/>
        <a:ln w="2857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249115</xdr:colOff>
      <xdr:row>1805</xdr:row>
      <xdr:rowOff>175846</xdr:rowOff>
    </xdr:from>
    <xdr:to>
      <xdr:col>4</xdr:col>
      <xdr:colOff>395654</xdr:colOff>
      <xdr:row>1805</xdr:row>
      <xdr:rowOff>175846</xdr:rowOff>
    </xdr:to>
    <xdr:cxnSp macro="">
      <xdr:nvCxnSpPr>
        <xdr:cNvPr id="357" name="Straight Connector 356">
          <a:extLst>
            <a:ext uri="{FF2B5EF4-FFF2-40B4-BE49-F238E27FC236}">
              <a16:creationId xmlns:a16="http://schemas.microsoft.com/office/drawing/2014/main" id="{60083C65-7DDB-4C2F-81F4-E20295BFE0AC}"/>
            </a:ext>
          </a:extLst>
        </xdr:cNvPr>
        <xdr:cNvCxnSpPr/>
      </xdr:nvCxnSpPr>
      <xdr:spPr>
        <a:xfrm>
          <a:off x="1367267" y="267074629"/>
          <a:ext cx="1430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30088</xdr:colOff>
      <xdr:row>1816</xdr:row>
      <xdr:rowOff>85396</xdr:rowOff>
    </xdr:from>
    <xdr:to>
      <xdr:col>3</xdr:col>
      <xdr:colOff>95779</xdr:colOff>
      <xdr:row>1817</xdr:row>
      <xdr:rowOff>59122</xdr:rowOff>
    </xdr:to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E450DA3B-1230-42C5-ABB6-C1BB10904DAF}"/>
            </a:ext>
          </a:extLst>
        </xdr:cNvPr>
        <xdr:cNvSpPr txBox="1"/>
      </xdr:nvSpPr>
      <xdr:spPr>
        <a:xfrm>
          <a:off x="1148240" y="268996853"/>
          <a:ext cx="736582" cy="155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>
              <a:latin typeface="Arial" panose="020B0604020202020204" pitchFamily="34" charset="0"/>
              <a:cs typeface="Arial" panose="020B0604020202020204" pitchFamily="34" charset="0"/>
            </a:rPr>
            <a:t>J-40542036-0</a:t>
          </a:r>
        </a:p>
      </xdr:txBody>
    </xdr:sp>
    <xdr:clientData/>
  </xdr:twoCellAnchor>
  <xdr:twoCellAnchor>
    <xdr:from>
      <xdr:col>5</xdr:col>
      <xdr:colOff>974405</xdr:colOff>
      <xdr:row>1818</xdr:row>
      <xdr:rowOff>13784</xdr:rowOff>
    </xdr:from>
    <xdr:to>
      <xdr:col>9</xdr:col>
      <xdr:colOff>156610</xdr:colOff>
      <xdr:row>1820</xdr:row>
      <xdr:rowOff>29308</xdr:rowOff>
    </xdr:to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CA73825B-34F5-405F-B73D-EBCC5C09E474}"/>
            </a:ext>
          </a:extLst>
        </xdr:cNvPr>
        <xdr:cNvSpPr txBox="1"/>
      </xdr:nvSpPr>
      <xdr:spPr>
        <a:xfrm>
          <a:off x="4014122" y="269289675"/>
          <a:ext cx="1045792" cy="3799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FORMA LIBRE</a:t>
          </a:r>
        </a:p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N° de Control</a:t>
          </a:r>
        </a:p>
      </xdr:txBody>
    </xdr:sp>
    <xdr:clientData/>
  </xdr:twoCellAnchor>
  <xdr:twoCellAnchor>
    <xdr:from>
      <xdr:col>9</xdr:col>
      <xdr:colOff>158514</xdr:colOff>
      <xdr:row>1818</xdr:row>
      <xdr:rowOff>13671</xdr:rowOff>
    </xdr:from>
    <xdr:to>
      <xdr:col>10</xdr:col>
      <xdr:colOff>249114</xdr:colOff>
      <xdr:row>1819</xdr:row>
      <xdr:rowOff>157430</xdr:rowOff>
    </xdr:to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EEF2E76F-3EBC-4997-BA74-9EEB85456740}"/>
            </a:ext>
          </a:extLst>
        </xdr:cNvPr>
        <xdr:cNvSpPr txBox="1"/>
      </xdr:nvSpPr>
      <xdr:spPr>
        <a:xfrm>
          <a:off x="5061818" y="269289562"/>
          <a:ext cx="529579" cy="325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Arial" panose="020B0604020202020204" pitchFamily="34" charset="0"/>
              <a:ea typeface="Roboto" panose="02000000000000000000" pitchFamily="2" charset="0"/>
              <a:cs typeface="Arial" panose="020B0604020202020204" pitchFamily="34" charset="0"/>
            </a:rPr>
            <a:t>00-</a:t>
          </a:r>
          <a:endParaRPr lang="en-US" sz="1600">
            <a:solidFill>
              <a:srgbClr val="FF0000"/>
            </a:solidFill>
            <a:latin typeface="Arial" panose="020B0604020202020204" pitchFamily="34" charset="0"/>
            <a:ea typeface="Roboto" panose="02000000000000000000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322385</xdr:colOff>
      <xdr:row>1814</xdr:row>
      <xdr:rowOff>52711</xdr:rowOff>
    </xdr:from>
    <xdr:to>
      <xdr:col>12</xdr:col>
      <xdr:colOff>0</xdr:colOff>
      <xdr:row>1816</xdr:row>
      <xdr:rowOff>80211</xdr:rowOff>
    </xdr:to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63C8AE0C-BD32-46FA-BCF8-E50E7AD79085}"/>
            </a:ext>
          </a:extLst>
        </xdr:cNvPr>
        <xdr:cNvSpPr txBox="1"/>
      </xdr:nvSpPr>
      <xdr:spPr>
        <a:xfrm>
          <a:off x="910450" y="268599733"/>
          <a:ext cx="5790180" cy="39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CALLE AYACUCHO, CASA Nro 36, SECTOR CASCO CENTRAL. CABIMAS - EDO. ZULIA ZONA POSTAL 4013          </a:t>
          </a:r>
        </a:p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TELF.: (0264) 241.65.04 - E-MAIL: LLLIMPORTCA@GMAIL.COM</a:t>
          </a:r>
        </a:p>
      </xdr:txBody>
    </xdr:sp>
    <xdr:clientData/>
  </xdr:twoCellAnchor>
  <xdr:twoCellAnchor>
    <xdr:from>
      <xdr:col>2</xdr:col>
      <xdr:colOff>122464</xdr:colOff>
      <xdr:row>1816</xdr:row>
      <xdr:rowOff>78241</xdr:rowOff>
    </xdr:from>
    <xdr:to>
      <xdr:col>11</xdr:col>
      <xdr:colOff>488156</xdr:colOff>
      <xdr:row>1816</xdr:row>
      <xdr:rowOff>83343</xdr:rowOff>
    </xdr:to>
    <xdr:cxnSp macro="">
      <xdr:nvCxnSpPr>
        <xdr:cNvPr id="362" name="Straight Connector 361">
          <a:extLst>
            <a:ext uri="{FF2B5EF4-FFF2-40B4-BE49-F238E27FC236}">
              <a16:creationId xmlns:a16="http://schemas.microsoft.com/office/drawing/2014/main" id="{8A0515AB-CA9D-4CAC-BFF5-818C26509B95}"/>
            </a:ext>
          </a:extLst>
        </xdr:cNvPr>
        <xdr:cNvCxnSpPr/>
      </xdr:nvCxnSpPr>
      <xdr:spPr>
        <a:xfrm>
          <a:off x="1240616" y="268989698"/>
          <a:ext cx="5360105" cy="510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119503</xdr:colOff>
      <xdr:row>1816</xdr:row>
      <xdr:rowOff>32085</xdr:rowOff>
    </xdr:from>
    <xdr:to>
      <xdr:col>11</xdr:col>
      <xdr:colOff>482203</xdr:colOff>
      <xdr:row>1816</xdr:row>
      <xdr:rowOff>35718</xdr:rowOff>
    </xdr:to>
    <xdr:cxnSp macro="">
      <xdr:nvCxnSpPr>
        <xdr:cNvPr id="363" name="Straight Connector 362">
          <a:extLst>
            <a:ext uri="{FF2B5EF4-FFF2-40B4-BE49-F238E27FC236}">
              <a16:creationId xmlns:a16="http://schemas.microsoft.com/office/drawing/2014/main" id="{F34D7034-9F42-4DDC-9F3B-607D2EACDEB8}"/>
            </a:ext>
          </a:extLst>
        </xdr:cNvPr>
        <xdr:cNvCxnSpPr/>
      </xdr:nvCxnSpPr>
      <xdr:spPr>
        <a:xfrm>
          <a:off x="1237655" y="268943542"/>
          <a:ext cx="5357113" cy="363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325589</xdr:colOff>
      <xdr:row>1859</xdr:row>
      <xdr:rowOff>21979</xdr:rowOff>
    </xdr:from>
    <xdr:to>
      <xdr:col>11</xdr:col>
      <xdr:colOff>315515</xdr:colOff>
      <xdr:row>1860</xdr:row>
      <xdr:rowOff>152948</xdr:rowOff>
    </xdr:to>
    <xdr:sp macro="" textlink="">
      <xdr:nvSpPr>
        <xdr:cNvPr id="364" name="Rectangle: Rounded Corners 363">
          <a:extLst>
            <a:ext uri="{FF2B5EF4-FFF2-40B4-BE49-F238E27FC236}">
              <a16:creationId xmlns:a16="http://schemas.microsoft.com/office/drawing/2014/main" id="{172121C5-BE53-45DD-AD31-03EC86A00409}"/>
            </a:ext>
          </a:extLst>
        </xdr:cNvPr>
        <xdr:cNvSpPr/>
      </xdr:nvSpPr>
      <xdr:spPr>
        <a:xfrm>
          <a:off x="325589" y="276777066"/>
          <a:ext cx="6102491" cy="304904"/>
        </a:xfrm>
        <a:prstGeom prst="roundRect">
          <a:avLst/>
        </a:prstGeom>
        <a:noFill/>
        <a:ln w="2857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249115</xdr:colOff>
      <xdr:row>1854</xdr:row>
      <xdr:rowOff>175846</xdr:rowOff>
    </xdr:from>
    <xdr:to>
      <xdr:col>4</xdr:col>
      <xdr:colOff>395654</xdr:colOff>
      <xdr:row>1854</xdr:row>
      <xdr:rowOff>175846</xdr:rowOff>
    </xdr:to>
    <xdr:cxnSp macro="">
      <xdr:nvCxnSpPr>
        <xdr:cNvPr id="365" name="Straight Connector 364">
          <a:extLst>
            <a:ext uri="{FF2B5EF4-FFF2-40B4-BE49-F238E27FC236}">
              <a16:creationId xmlns:a16="http://schemas.microsoft.com/office/drawing/2014/main" id="{1D95AA69-55D8-4983-A1DF-2C8E0B402028}"/>
            </a:ext>
          </a:extLst>
        </xdr:cNvPr>
        <xdr:cNvCxnSpPr/>
      </xdr:nvCxnSpPr>
      <xdr:spPr>
        <a:xfrm>
          <a:off x="1367267" y="276019846"/>
          <a:ext cx="1430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30088</xdr:colOff>
      <xdr:row>1865</xdr:row>
      <xdr:rowOff>85396</xdr:rowOff>
    </xdr:from>
    <xdr:to>
      <xdr:col>3</xdr:col>
      <xdr:colOff>95779</xdr:colOff>
      <xdr:row>1866</xdr:row>
      <xdr:rowOff>59122</xdr:rowOff>
    </xdr:to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5E4AACA0-5105-4D06-B7F6-21E94ADF9A4B}"/>
            </a:ext>
          </a:extLst>
        </xdr:cNvPr>
        <xdr:cNvSpPr txBox="1"/>
      </xdr:nvSpPr>
      <xdr:spPr>
        <a:xfrm>
          <a:off x="1148240" y="277942070"/>
          <a:ext cx="736582" cy="155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>
              <a:latin typeface="Arial" panose="020B0604020202020204" pitchFamily="34" charset="0"/>
              <a:cs typeface="Arial" panose="020B0604020202020204" pitchFamily="34" charset="0"/>
            </a:rPr>
            <a:t>J-40542036-0</a:t>
          </a:r>
        </a:p>
      </xdr:txBody>
    </xdr:sp>
    <xdr:clientData/>
  </xdr:twoCellAnchor>
  <xdr:twoCellAnchor>
    <xdr:from>
      <xdr:col>5</xdr:col>
      <xdr:colOff>974405</xdr:colOff>
      <xdr:row>1867</xdr:row>
      <xdr:rowOff>13784</xdr:rowOff>
    </xdr:from>
    <xdr:to>
      <xdr:col>9</xdr:col>
      <xdr:colOff>156610</xdr:colOff>
      <xdr:row>1869</xdr:row>
      <xdr:rowOff>29308</xdr:rowOff>
    </xdr:to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AEE603B4-8DCB-4416-994C-A40DE2D9EFC6}"/>
            </a:ext>
          </a:extLst>
        </xdr:cNvPr>
        <xdr:cNvSpPr txBox="1"/>
      </xdr:nvSpPr>
      <xdr:spPr>
        <a:xfrm>
          <a:off x="4014122" y="278234893"/>
          <a:ext cx="1045792" cy="37995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FORMA LIBRE</a:t>
          </a:r>
        </a:p>
        <a:p>
          <a:pPr algn="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N° de Control</a:t>
          </a:r>
        </a:p>
      </xdr:txBody>
    </xdr:sp>
    <xdr:clientData/>
  </xdr:twoCellAnchor>
  <xdr:twoCellAnchor>
    <xdr:from>
      <xdr:col>9</xdr:col>
      <xdr:colOff>158514</xdr:colOff>
      <xdr:row>1867</xdr:row>
      <xdr:rowOff>13671</xdr:rowOff>
    </xdr:from>
    <xdr:to>
      <xdr:col>10</xdr:col>
      <xdr:colOff>249114</xdr:colOff>
      <xdr:row>1868</xdr:row>
      <xdr:rowOff>157430</xdr:rowOff>
    </xdr:to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89869A3D-A41A-48CC-BA8B-D76B3268E0EE}"/>
            </a:ext>
          </a:extLst>
        </xdr:cNvPr>
        <xdr:cNvSpPr txBox="1"/>
      </xdr:nvSpPr>
      <xdr:spPr>
        <a:xfrm>
          <a:off x="5061818" y="278234780"/>
          <a:ext cx="529579" cy="325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Arial" panose="020B0604020202020204" pitchFamily="34" charset="0"/>
              <a:ea typeface="Roboto" panose="02000000000000000000" pitchFamily="2" charset="0"/>
              <a:cs typeface="Arial" panose="020B0604020202020204" pitchFamily="34" charset="0"/>
            </a:rPr>
            <a:t>00-</a:t>
          </a:r>
          <a:endParaRPr lang="en-US" sz="1600">
            <a:solidFill>
              <a:srgbClr val="FF0000"/>
            </a:solidFill>
            <a:latin typeface="Arial" panose="020B0604020202020204" pitchFamily="34" charset="0"/>
            <a:ea typeface="Roboto" panose="02000000000000000000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322385</xdr:colOff>
      <xdr:row>1863</xdr:row>
      <xdr:rowOff>52711</xdr:rowOff>
    </xdr:from>
    <xdr:to>
      <xdr:col>12</xdr:col>
      <xdr:colOff>0</xdr:colOff>
      <xdr:row>1865</xdr:row>
      <xdr:rowOff>80211</xdr:rowOff>
    </xdr:to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6C062B64-4CBE-4365-97F3-243BA9EA09C8}"/>
            </a:ext>
          </a:extLst>
        </xdr:cNvPr>
        <xdr:cNvSpPr txBox="1"/>
      </xdr:nvSpPr>
      <xdr:spPr>
        <a:xfrm>
          <a:off x="910450" y="277544950"/>
          <a:ext cx="5790180" cy="391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CALLE AYACUCHO, CASA Nro 36, SECTOR CASCO CENTRAL. CABIMAS - EDO. ZULIA ZONA POSTAL 4013          </a:t>
          </a:r>
        </a:p>
        <a:p>
          <a:pPr algn="r"/>
          <a:r>
            <a:rPr lang="en-US" sz="850" b="1">
              <a:latin typeface="Arial" panose="020B0604020202020204" pitchFamily="34" charset="0"/>
              <a:cs typeface="Arial" panose="020B0604020202020204" pitchFamily="34" charset="0"/>
            </a:rPr>
            <a:t>TELF.: (0264) 241.65.04 - E-MAIL: LLLIMPORTCA@GMAIL.COM</a:t>
          </a:r>
        </a:p>
      </xdr:txBody>
    </xdr:sp>
    <xdr:clientData/>
  </xdr:twoCellAnchor>
  <xdr:twoCellAnchor>
    <xdr:from>
      <xdr:col>2</xdr:col>
      <xdr:colOff>122464</xdr:colOff>
      <xdr:row>1865</xdr:row>
      <xdr:rowOff>78241</xdr:rowOff>
    </xdr:from>
    <xdr:to>
      <xdr:col>11</xdr:col>
      <xdr:colOff>488156</xdr:colOff>
      <xdr:row>1865</xdr:row>
      <xdr:rowOff>83343</xdr:rowOff>
    </xdr:to>
    <xdr:cxnSp macro="">
      <xdr:nvCxnSpPr>
        <xdr:cNvPr id="370" name="Straight Connector 369">
          <a:extLst>
            <a:ext uri="{FF2B5EF4-FFF2-40B4-BE49-F238E27FC236}">
              <a16:creationId xmlns:a16="http://schemas.microsoft.com/office/drawing/2014/main" id="{DD27546B-B821-40CF-87B5-898C836BC5FB}"/>
            </a:ext>
          </a:extLst>
        </xdr:cNvPr>
        <xdr:cNvCxnSpPr/>
      </xdr:nvCxnSpPr>
      <xdr:spPr>
        <a:xfrm>
          <a:off x="1240616" y="277934915"/>
          <a:ext cx="5360105" cy="510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119503</xdr:colOff>
      <xdr:row>1865</xdr:row>
      <xdr:rowOff>32085</xdr:rowOff>
    </xdr:from>
    <xdr:to>
      <xdr:col>11</xdr:col>
      <xdr:colOff>482203</xdr:colOff>
      <xdr:row>1865</xdr:row>
      <xdr:rowOff>35718</xdr:rowOff>
    </xdr:to>
    <xdr:cxnSp macro="">
      <xdr:nvCxnSpPr>
        <xdr:cNvPr id="371" name="Straight Connector 370">
          <a:extLst>
            <a:ext uri="{FF2B5EF4-FFF2-40B4-BE49-F238E27FC236}">
              <a16:creationId xmlns:a16="http://schemas.microsoft.com/office/drawing/2014/main" id="{018F691F-170C-41A1-97EB-253082C5124E}"/>
            </a:ext>
          </a:extLst>
        </xdr:cNvPr>
        <xdr:cNvCxnSpPr/>
      </xdr:nvCxnSpPr>
      <xdr:spPr>
        <a:xfrm>
          <a:off x="1237655" y="277888759"/>
          <a:ext cx="5357113" cy="363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325589</xdr:colOff>
      <xdr:row>1908</xdr:row>
      <xdr:rowOff>21979</xdr:rowOff>
    </xdr:from>
    <xdr:to>
      <xdr:col>11</xdr:col>
      <xdr:colOff>315515</xdr:colOff>
      <xdr:row>1909</xdr:row>
      <xdr:rowOff>152948</xdr:rowOff>
    </xdr:to>
    <xdr:sp macro="" textlink="">
      <xdr:nvSpPr>
        <xdr:cNvPr id="372" name="Rectangle: Rounded Corners 371">
          <a:extLst>
            <a:ext uri="{FF2B5EF4-FFF2-40B4-BE49-F238E27FC236}">
              <a16:creationId xmlns:a16="http://schemas.microsoft.com/office/drawing/2014/main" id="{639DE6E2-2618-4BDE-A4AB-4A15520A5C27}"/>
            </a:ext>
          </a:extLst>
        </xdr:cNvPr>
        <xdr:cNvSpPr/>
      </xdr:nvSpPr>
      <xdr:spPr>
        <a:xfrm>
          <a:off x="325589" y="285722283"/>
          <a:ext cx="6102491" cy="304904"/>
        </a:xfrm>
        <a:prstGeom prst="roundRect">
          <a:avLst/>
        </a:prstGeom>
        <a:noFill/>
        <a:ln w="2857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249115</xdr:colOff>
      <xdr:row>1903</xdr:row>
      <xdr:rowOff>175846</xdr:rowOff>
    </xdr:from>
    <xdr:to>
      <xdr:col>4</xdr:col>
      <xdr:colOff>395654</xdr:colOff>
      <xdr:row>1903</xdr:row>
      <xdr:rowOff>175846</xdr:rowOff>
    </xdr:to>
    <xdr:cxnSp macro="">
      <xdr:nvCxnSpPr>
        <xdr:cNvPr id="373" name="Straight Connector 372">
          <a:extLst>
            <a:ext uri="{FF2B5EF4-FFF2-40B4-BE49-F238E27FC236}">
              <a16:creationId xmlns:a16="http://schemas.microsoft.com/office/drawing/2014/main" id="{18461D52-48B1-488D-879B-55507ED8B792}"/>
            </a:ext>
          </a:extLst>
        </xdr:cNvPr>
        <xdr:cNvCxnSpPr/>
      </xdr:nvCxnSpPr>
      <xdr:spPr>
        <a:xfrm>
          <a:off x="1367267" y="284965063"/>
          <a:ext cx="1430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1568</xdr:row>
      <xdr:rowOff>0</xdr:rowOff>
    </xdr:from>
    <xdr:to>
      <xdr:col>2</xdr:col>
      <xdr:colOff>72379</xdr:colOff>
      <xdr:row>1574</xdr:row>
      <xdr:rowOff>173936</xdr:rowOff>
    </xdr:to>
    <xdr:pic>
      <xdr:nvPicPr>
        <xdr:cNvPr id="381" name="Picture 380" descr="A logo of an airplane&#10;&#10;Description automatically generated">
          <a:extLst>
            <a:ext uri="{FF2B5EF4-FFF2-40B4-BE49-F238E27FC236}">
              <a16:creationId xmlns:a16="http://schemas.microsoft.com/office/drawing/2014/main" id="{190DD90F-CDD0-467C-818B-A6237BBDF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6246957"/>
          <a:ext cx="1190531" cy="12755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1617</xdr:row>
      <xdr:rowOff>0</xdr:rowOff>
    </xdr:from>
    <xdr:to>
      <xdr:col>2</xdr:col>
      <xdr:colOff>72379</xdr:colOff>
      <xdr:row>1623</xdr:row>
      <xdr:rowOff>173935</xdr:rowOff>
    </xdr:to>
    <xdr:pic>
      <xdr:nvPicPr>
        <xdr:cNvPr id="382" name="Picture 381" descr="A logo of an airplane&#10;&#10;Description automatically generated">
          <a:extLst>
            <a:ext uri="{FF2B5EF4-FFF2-40B4-BE49-F238E27FC236}">
              <a16:creationId xmlns:a16="http://schemas.microsoft.com/office/drawing/2014/main" id="{8BBB3955-0C22-4336-89DC-2AE03595D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192174"/>
          <a:ext cx="1190531" cy="12755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1666</xdr:row>
      <xdr:rowOff>0</xdr:rowOff>
    </xdr:from>
    <xdr:to>
      <xdr:col>2</xdr:col>
      <xdr:colOff>72379</xdr:colOff>
      <xdr:row>1672</xdr:row>
      <xdr:rowOff>173935</xdr:rowOff>
    </xdr:to>
    <xdr:pic>
      <xdr:nvPicPr>
        <xdr:cNvPr id="383" name="Picture 382" descr="A logo of an airplane&#10;&#10;Description automatically generated">
          <a:extLst>
            <a:ext uri="{FF2B5EF4-FFF2-40B4-BE49-F238E27FC236}">
              <a16:creationId xmlns:a16="http://schemas.microsoft.com/office/drawing/2014/main" id="{FBA4C222-9C03-471A-B087-29F35A13D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4137391"/>
          <a:ext cx="1190531" cy="12755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1715</xdr:row>
      <xdr:rowOff>0</xdr:rowOff>
    </xdr:from>
    <xdr:to>
      <xdr:col>2</xdr:col>
      <xdr:colOff>72379</xdr:colOff>
      <xdr:row>1721</xdr:row>
      <xdr:rowOff>173935</xdr:rowOff>
    </xdr:to>
    <xdr:pic>
      <xdr:nvPicPr>
        <xdr:cNvPr id="384" name="Picture 383" descr="A logo of an airplane&#10;&#10;Description automatically generated">
          <a:extLst>
            <a:ext uri="{FF2B5EF4-FFF2-40B4-BE49-F238E27FC236}">
              <a16:creationId xmlns:a16="http://schemas.microsoft.com/office/drawing/2014/main" id="{59D969E1-39A3-453F-9B83-CB901C645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3082609"/>
          <a:ext cx="1190531" cy="12755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1764</xdr:row>
      <xdr:rowOff>0</xdr:rowOff>
    </xdr:from>
    <xdr:to>
      <xdr:col>2</xdr:col>
      <xdr:colOff>72379</xdr:colOff>
      <xdr:row>1770</xdr:row>
      <xdr:rowOff>173935</xdr:rowOff>
    </xdr:to>
    <xdr:pic>
      <xdr:nvPicPr>
        <xdr:cNvPr id="385" name="Picture 384" descr="A logo of an airplane&#10;&#10;Description automatically generated">
          <a:extLst>
            <a:ext uri="{FF2B5EF4-FFF2-40B4-BE49-F238E27FC236}">
              <a16:creationId xmlns:a16="http://schemas.microsoft.com/office/drawing/2014/main" id="{72CE91CC-0F72-49D4-809B-5EA21634A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22027826"/>
          <a:ext cx="1190531" cy="12755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1812</xdr:row>
      <xdr:rowOff>190500</xdr:rowOff>
    </xdr:from>
    <xdr:to>
      <xdr:col>2</xdr:col>
      <xdr:colOff>72379</xdr:colOff>
      <xdr:row>1819</xdr:row>
      <xdr:rowOff>173935</xdr:rowOff>
    </xdr:to>
    <xdr:pic>
      <xdr:nvPicPr>
        <xdr:cNvPr id="386" name="Picture 385" descr="A logo of an airplane&#10;&#10;Description automatically generated">
          <a:extLst>
            <a:ext uri="{FF2B5EF4-FFF2-40B4-BE49-F238E27FC236}">
              <a16:creationId xmlns:a16="http://schemas.microsoft.com/office/drawing/2014/main" id="{0142D883-EF2F-4860-AC9F-8BB00E661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0973043"/>
          <a:ext cx="1190531" cy="12755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1862</xdr:row>
      <xdr:rowOff>0</xdr:rowOff>
    </xdr:from>
    <xdr:to>
      <xdr:col>2</xdr:col>
      <xdr:colOff>72379</xdr:colOff>
      <xdr:row>1868</xdr:row>
      <xdr:rowOff>173935</xdr:rowOff>
    </xdr:to>
    <xdr:pic>
      <xdr:nvPicPr>
        <xdr:cNvPr id="387" name="Picture 386" descr="A logo of an airplane&#10;&#10;Description automatically generated">
          <a:extLst>
            <a:ext uri="{FF2B5EF4-FFF2-40B4-BE49-F238E27FC236}">
              <a16:creationId xmlns:a16="http://schemas.microsoft.com/office/drawing/2014/main" id="{42459D30-89CC-4A7D-AFD1-DBE3A8E98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9918261"/>
          <a:ext cx="1190531" cy="12755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11"/>
  <sheetViews>
    <sheetView tabSelected="1" topLeftCell="A108" zoomScale="115" zoomScaleNormal="115" zoomScaleSheetLayoutView="85" workbookViewId="0">
      <selection activeCell="M26" sqref="M26"/>
    </sheetView>
  </sheetViews>
  <sheetFormatPr defaultRowHeight="14.25" x14ac:dyDescent="0.2"/>
  <cols>
    <col min="1" max="1" width="8.85546875" style="3" customWidth="1"/>
    <col min="2" max="2" width="8" style="3" customWidth="1"/>
    <col min="3" max="3" width="10" style="3" customWidth="1"/>
    <col min="4" max="4" width="9.140625" style="3" customWidth="1"/>
    <col min="5" max="5" width="9.5703125" style="3" customWidth="1"/>
    <col min="6" max="6" width="15.140625" style="3" customWidth="1"/>
    <col min="7" max="7" width="0.140625" style="3" customWidth="1"/>
    <col min="8" max="8" width="7" style="3" customWidth="1"/>
    <col min="9" max="9" width="5.7109375" style="3" customWidth="1"/>
    <col min="10" max="10" width="6.5703125" style="3" customWidth="1"/>
    <col min="11" max="11" width="11.5703125" style="3" customWidth="1"/>
    <col min="12" max="12" width="8.85546875" style="3" customWidth="1"/>
    <col min="13" max="20" width="9.140625" style="3" customWidth="1"/>
    <col min="21" max="21" width="5.5703125" style="3" customWidth="1"/>
    <col min="22" max="22" width="5" style="3" customWidth="1"/>
    <col min="23" max="23" width="9.140625" style="3" customWidth="1"/>
    <col min="24" max="16384" width="9.140625" style="3"/>
  </cols>
  <sheetData>
    <row r="1" spans="2:12" ht="15" customHeight="1" x14ac:dyDescent="0.2"/>
    <row r="2" spans="2:12" x14ac:dyDescent="0.2">
      <c r="C2" s="2" t="s">
        <v>32</v>
      </c>
      <c r="D2" s="2"/>
      <c r="E2" s="2"/>
      <c r="F2" s="2"/>
      <c r="G2" s="2"/>
      <c r="H2" s="2"/>
      <c r="I2" s="2"/>
      <c r="J2" s="2"/>
      <c r="K2" s="2"/>
      <c r="L2" s="2"/>
    </row>
    <row r="3" spans="2:12" x14ac:dyDescent="0.2">
      <c r="D3" s="2"/>
      <c r="E3" s="2"/>
      <c r="F3" s="2"/>
      <c r="G3" s="2"/>
      <c r="H3" s="2"/>
      <c r="J3" s="2"/>
      <c r="K3" s="2"/>
    </row>
    <row r="4" spans="2:12" x14ac:dyDescent="0.2">
      <c r="C4" s="2"/>
      <c r="I4" s="2"/>
    </row>
    <row r="6" spans="2:12" x14ac:dyDescent="0.2">
      <c r="K6" s="38"/>
    </row>
    <row r="7" spans="2:12" x14ac:dyDescent="0.2">
      <c r="K7" s="39"/>
    </row>
    <row r="10" spans="2:12" x14ac:dyDescent="0.2">
      <c r="C10" s="20" t="s">
        <v>0</v>
      </c>
      <c r="D10" s="20"/>
      <c r="E10" s="5"/>
      <c r="F10" s="6"/>
      <c r="H10" s="5" t="s">
        <v>1</v>
      </c>
      <c r="I10" s="4"/>
    </row>
    <row r="11" spans="2:12" ht="20.25" customHeight="1" x14ac:dyDescent="0.2"/>
    <row r="12" spans="2:12" ht="14.25" customHeight="1" x14ac:dyDescent="0.2">
      <c r="B12" s="5" t="s">
        <v>2</v>
      </c>
      <c r="C12" s="34" t="s">
        <v>3</v>
      </c>
      <c r="D12" s="34"/>
      <c r="E12" s="5"/>
      <c r="F12" s="5" t="s">
        <v>4</v>
      </c>
      <c r="G12" s="5"/>
      <c r="H12" s="8" t="s">
        <v>5</v>
      </c>
      <c r="J12" s="7" t="s">
        <v>6</v>
      </c>
      <c r="K12" s="19"/>
    </row>
    <row r="13" spans="2:12" x14ac:dyDescent="0.2">
      <c r="B13" s="5" t="s">
        <v>7</v>
      </c>
      <c r="C13" s="23" t="s">
        <v>8</v>
      </c>
      <c r="D13" s="23"/>
      <c r="E13" s="7" t="s">
        <v>9</v>
      </c>
      <c r="F13" s="5"/>
      <c r="G13" s="5"/>
      <c r="H13" s="5"/>
      <c r="I13" s="5"/>
      <c r="J13" s="7" t="s">
        <v>10</v>
      </c>
      <c r="K13" s="19"/>
      <c r="L13" s="5"/>
    </row>
    <row r="14" spans="2:12" x14ac:dyDescent="0.2">
      <c r="B14" s="28" t="s">
        <v>33</v>
      </c>
      <c r="C14" s="28"/>
      <c r="D14" s="6" t="s">
        <v>11</v>
      </c>
      <c r="E14" s="7" t="s">
        <v>12</v>
      </c>
      <c r="F14" s="8" t="s">
        <v>13</v>
      </c>
      <c r="G14" s="7" t="s">
        <v>14</v>
      </c>
      <c r="H14" s="9" t="s">
        <v>15</v>
      </c>
      <c r="I14" s="5"/>
      <c r="J14" s="5"/>
      <c r="K14" s="5"/>
      <c r="L14" s="5"/>
    </row>
    <row r="15" spans="2:12" ht="14.25" customHeight="1" x14ac:dyDescent="0.2">
      <c r="B15" s="5" t="s">
        <v>16</v>
      </c>
      <c r="C15" s="27" t="s">
        <v>17</v>
      </c>
      <c r="D15" s="27"/>
      <c r="E15" s="27"/>
      <c r="F15" s="27"/>
      <c r="G15" s="27"/>
      <c r="H15" s="5"/>
      <c r="I15" s="5"/>
      <c r="J15" s="5"/>
      <c r="K15" s="5"/>
      <c r="L15" s="5"/>
    </row>
    <row r="16" spans="2:12" x14ac:dyDescent="0.2">
      <c r="B16" s="5"/>
      <c r="C16" s="27" t="s">
        <v>18</v>
      </c>
      <c r="D16" s="27"/>
      <c r="E16" s="27"/>
      <c r="F16" s="27"/>
      <c r="G16" s="27"/>
      <c r="H16" s="5"/>
      <c r="I16" s="5"/>
      <c r="J16" s="5"/>
      <c r="K16" s="5"/>
      <c r="L16" s="5"/>
    </row>
    <row r="17" spans="2:12" ht="9" customHeight="1" x14ac:dyDescent="0.2">
      <c r="B17" s="5" t="s">
        <v>19</v>
      </c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2:12" x14ac:dyDescent="0.2">
      <c r="B18" s="29" t="s">
        <v>20</v>
      </c>
      <c r="C18" s="29"/>
      <c r="D18" s="29"/>
      <c r="E18" s="29"/>
      <c r="F18" s="29"/>
      <c r="G18" s="29"/>
      <c r="H18" s="10" t="s">
        <v>21</v>
      </c>
      <c r="I18" s="30" t="s">
        <v>22</v>
      </c>
      <c r="J18" s="31"/>
      <c r="K18" s="10" t="s">
        <v>23</v>
      </c>
      <c r="L18" s="12"/>
    </row>
    <row r="19" spans="2:12" ht="14.25" customHeight="1" x14ac:dyDescent="0.2">
      <c r="B19" s="32"/>
      <c r="C19" s="32"/>
      <c r="D19" s="32"/>
      <c r="E19" s="32"/>
      <c r="F19" s="32"/>
      <c r="G19" s="32"/>
      <c r="H19" s="1"/>
      <c r="I19" s="33"/>
      <c r="J19" s="33"/>
      <c r="K19" s="18"/>
      <c r="L19" s="11"/>
    </row>
    <row r="20" spans="2:12" x14ac:dyDescent="0.2"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11"/>
    </row>
    <row r="21" spans="2:12" x14ac:dyDescent="0.2">
      <c r="B21" s="22"/>
      <c r="C21" s="22"/>
      <c r="D21" s="22"/>
      <c r="E21" s="22"/>
      <c r="F21" s="22"/>
      <c r="G21" s="22"/>
      <c r="H21" s="1"/>
      <c r="I21" s="25"/>
      <c r="J21" s="26"/>
      <c r="K21" s="18"/>
      <c r="L21" s="11"/>
    </row>
    <row r="22" spans="2:12" x14ac:dyDescent="0.2"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11"/>
    </row>
    <row r="23" spans="2:12" x14ac:dyDescent="0.2">
      <c r="B23" s="22"/>
      <c r="C23" s="22"/>
      <c r="D23" s="22"/>
      <c r="E23" s="22"/>
      <c r="F23" s="22"/>
      <c r="G23" s="22"/>
      <c r="H23" s="1"/>
      <c r="I23" s="25"/>
      <c r="J23" s="26"/>
      <c r="K23" s="18"/>
      <c r="L23" s="11"/>
    </row>
    <row r="24" spans="2:12" x14ac:dyDescent="0.2"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11"/>
    </row>
    <row r="25" spans="2:12" ht="14.25" customHeight="1" x14ac:dyDescent="0.2">
      <c r="B25" s="24"/>
      <c r="C25" s="24"/>
      <c r="D25" s="24"/>
      <c r="E25" s="24"/>
      <c r="F25" s="24"/>
      <c r="G25" s="24"/>
      <c r="H25" s="1"/>
      <c r="I25" s="25"/>
      <c r="J25" s="26"/>
      <c r="K25" s="18"/>
      <c r="L25" s="11"/>
    </row>
    <row r="26" spans="2:12" x14ac:dyDescent="0.2"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11"/>
    </row>
    <row r="27" spans="2:12" x14ac:dyDescent="0.2">
      <c r="B27" s="22"/>
      <c r="C27" s="22"/>
      <c r="D27" s="22"/>
      <c r="E27" s="22"/>
      <c r="F27" s="22"/>
      <c r="G27" s="22"/>
      <c r="H27" s="1"/>
      <c r="I27" s="25"/>
      <c r="J27" s="26"/>
      <c r="K27" s="18"/>
      <c r="L27" s="11"/>
    </row>
    <row r="28" spans="2:12" x14ac:dyDescent="0.2"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11"/>
    </row>
    <row r="29" spans="2:12" x14ac:dyDescent="0.2">
      <c r="B29" s="22"/>
      <c r="C29" s="22"/>
      <c r="D29" s="22"/>
      <c r="E29" s="22"/>
      <c r="F29" s="22"/>
      <c r="G29" s="22"/>
      <c r="H29" s="1"/>
      <c r="I29" s="25"/>
      <c r="J29" s="26"/>
      <c r="K29" s="18"/>
      <c r="L29" s="11"/>
    </row>
    <row r="30" spans="2:12" x14ac:dyDescent="0.2"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11"/>
    </row>
    <row r="31" spans="2:12" x14ac:dyDescent="0.2">
      <c r="B31" s="22"/>
      <c r="C31" s="22"/>
      <c r="D31" s="22"/>
      <c r="E31" s="22"/>
      <c r="F31" s="22"/>
      <c r="G31" s="22"/>
      <c r="H31" s="1"/>
      <c r="I31" s="25"/>
      <c r="J31" s="26"/>
      <c r="K31" s="18"/>
      <c r="L31" s="11"/>
    </row>
    <row r="32" spans="2:12" x14ac:dyDescent="0.2"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11"/>
    </row>
    <row r="33" spans="1:12" ht="14.25" customHeight="1" x14ac:dyDescent="0.2">
      <c r="B33" s="24"/>
      <c r="C33" s="24"/>
      <c r="D33" s="24"/>
      <c r="E33" s="24"/>
      <c r="F33" s="24"/>
      <c r="G33" s="24"/>
      <c r="H33" s="1"/>
      <c r="I33" s="25"/>
      <c r="J33" s="26"/>
      <c r="K33" s="18"/>
      <c r="L33" s="11"/>
    </row>
    <row r="34" spans="1:12" x14ac:dyDescent="0.2">
      <c r="B34" s="22"/>
      <c r="C34" s="22"/>
      <c r="D34" s="22"/>
      <c r="E34" s="22"/>
      <c r="F34" s="22"/>
      <c r="G34" s="22"/>
      <c r="H34" s="22"/>
      <c r="I34" s="22"/>
      <c r="J34" s="22"/>
      <c r="K34" s="22"/>
    </row>
    <row r="35" spans="1:12" ht="14.25" customHeight="1" x14ac:dyDescent="0.2">
      <c r="B35" s="24"/>
      <c r="C35" s="24"/>
      <c r="D35" s="24"/>
      <c r="E35" s="24"/>
      <c r="F35" s="24"/>
      <c r="G35" s="24"/>
      <c r="H35" s="1"/>
      <c r="I35" s="37"/>
      <c r="J35" s="26"/>
      <c r="K35" s="14"/>
    </row>
    <row r="36" spans="1:12" x14ac:dyDescent="0.2">
      <c r="B36" s="22"/>
      <c r="C36" s="22"/>
      <c r="D36" s="22"/>
      <c r="E36" s="22"/>
      <c r="F36" s="22"/>
      <c r="G36" s="22"/>
      <c r="H36" s="22"/>
      <c r="I36" s="22"/>
      <c r="J36" s="22"/>
      <c r="K36" s="22"/>
    </row>
    <row r="37" spans="1:12" x14ac:dyDescent="0.2">
      <c r="B37" s="22"/>
      <c r="C37" s="22"/>
      <c r="D37" s="22"/>
      <c r="E37" s="22"/>
      <c r="F37" s="22"/>
      <c r="G37" s="22"/>
      <c r="H37" s="1"/>
      <c r="I37" s="21"/>
      <c r="J37" s="21"/>
      <c r="K37" s="11"/>
    </row>
    <row r="38" spans="1:12" x14ac:dyDescent="0.2">
      <c r="B38" s="22"/>
      <c r="C38" s="22"/>
      <c r="D38" s="22"/>
      <c r="E38" s="22"/>
      <c r="F38" s="22"/>
      <c r="G38" s="22"/>
      <c r="H38" s="1"/>
      <c r="I38" s="21"/>
      <c r="J38" s="21"/>
      <c r="K38" s="11"/>
    </row>
    <row r="39" spans="1:12" x14ac:dyDescent="0.2">
      <c r="B39" s="5" t="s">
        <v>24</v>
      </c>
      <c r="C39" s="5"/>
      <c r="D39" s="5"/>
      <c r="E39" s="5"/>
      <c r="F39" s="7" t="s">
        <v>25</v>
      </c>
      <c r="G39" s="5"/>
      <c r="H39" s="5"/>
      <c r="K39" s="16">
        <f>SUM(K19,K21,K23,K25,K27,K29,K31,K33,K35)</f>
        <v>0</v>
      </c>
    </row>
    <row r="40" spans="1:12" x14ac:dyDescent="0.2">
      <c r="B40" s="5"/>
      <c r="C40" s="5"/>
      <c r="D40" s="5"/>
      <c r="E40" s="5"/>
      <c r="F40" s="7" t="s">
        <v>26</v>
      </c>
      <c r="G40" s="5"/>
      <c r="H40" s="5"/>
      <c r="K40" s="16">
        <v>0</v>
      </c>
    </row>
    <row r="41" spans="1:12" x14ac:dyDescent="0.2">
      <c r="B41" s="5"/>
      <c r="C41" s="5"/>
      <c r="D41" s="5"/>
      <c r="E41" s="5"/>
      <c r="F41" s="7" t="s">
        <v>27</v>
      </c>
      <c r="G41" s="5"/>
      <c r="H41" s="5"/>
      <c r="K41" s="16">
        <f>K39+K40</f>
        <v>0</v>
      </c>
    </row>
    <row r="42" spans="1:12" x14ac:dyDescent="0.2">
      <c r="B42" s="28" t="s">
        <v>28</v>
      </c>
      <c r="C42" s="28"/>
      <c r="D42" s="28"/>
      <c r="E42" s="5"/>
      <c r="F42" s="7" t="s">
        <v>29</v>
      </c>
      <c r="G42" s="5"/>
      <c r="H42" s="13">
        <v>0.16</v>
      </c>
      <c r="K42" s="17">
        <f>K41*0.16</f>
        <v>0</v>
      </c>
    </row>
    <row r="43" spans="1:12" x14ac:dyDescent="0.2">
      <c r="B43" s="5"/>
      <c r="C43" s="5"/>
      <c r="D43" s="5"/>
      <c r="E43" s="5"/>
      <c r="F43" s="7" t="s">
        <v>30</v>
      </c>
      <c r="G43" s="5"/>
      <c r="H43" s="5"/>
      <c r="K43" s="17">
        <f>K41*1.16</f>
        <v>0</v>
      </c>
    </row>
    <row r="47" spans="1:12" ht="13.5" customHeight="1" x14ac:dyDescent="0.2">
      <c r="A47" s="35" t="s">
        <v>34</v>
      </c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</row>
    <row r="48" spans="1:12" x14ac:dyDescent="0.2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</row>
    <row r="49" spans="1:12" ht="15" customHeight="1" x14ac:dyDescent="0.2">
      <c r="A49" s="36" t="s">
        <v>31</v>
      </c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</row>
    <row r="50" spans="1:12" ht="15" customHeight="1" x14ac:dyDescent="0.2"/>
    <row r="51" spans="1:12" x14ac:dyDescent="0.2">
      <c r="C51" s="2" t="s">
        <v>32</v>
      </c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2">
      <c r="D52" s="2"/>
      <c r="E52" s="2"/>
      <c r="F52" s="2"/>
      <c r="G52" s="2"/>
      <c r="H52" s="2"/>
      <c r="J52" s="2"/>
      <c r="K52" s="2"/>
    </row>
    <row r="53" spans="1:12" x14ac:dyDescent="0.2">
      <c r="C53" s="2"/>
      <c r="I53" s="2"/>
    </row>
    <row r="55" spans="1:12" x14ac:dyDescent="0.2">
      <c r="K55" s="38"/>
    </row>
    <row r="56" spans="1:12" x14ac:dyDescent="0.2">
      <c r="K56" s="39"/>
    </row>
    <row r="59" spans="1:12" x14ac:dyDescent="0.2">
      <c r="C59" s="20" t="s">
        <v>0</v>
      </c>
      <c r="D59" s="20"/>
      <c r="E59" s="5"/>
      <c r="F59" s="6"/>
      <c r="H59" s="5" t="s">
        <v>1</v>
      </c>
      <c r="I59" s="4"/>
    </row>
    <row r="60" spans="1:12" ht="20.25" customHeight="1" x14ac:dyDescent="0.2"/>
    <row r="61" spans="1:12" ht="14.25" customHeight="1" x14ac:dyDescent="0.2">
      <c r="B61" s="5" t="s">
        <v>2</v>
      </c>
      <c r="C61" s="34" t="s">
        <v>3</v>
      </c>
      <c r="D61" s="34"/>
      <c r="E61" s="5"/>
      <c r="F61" s="5" t="s">
        <v>4</v>
      </c>
      <c r="G61" s="5"/>
      <c r="H61" s="8" t="s">
        <v>5</v>
      </c>
      <c r="J61" s="7" t="s">
        <v>6</v>
      </c>
      <c r="K61" s="19"/>
    </row>
    <row r="62" spans="1:12" x14ac:dyDescent="0.2">
      <c r="B62" s="5" t="s">
        <v>7</v>
      </c>
      <c r="C62" s="23" t="s">
        <v>8</v>
      </c>
      <c r="D62" s="23"/>
      <c r="E62" s="7" t="s">
        <v>9</v>
      </c>
      <c r="F62" s="5"/>
      <c r="G62" s="5"/>
      <c r="H62" s="5"/>
      <c r="I62" s="5"/>
      <c r="J62" s="7" t="s">
        <v>10</v>
      </c>
      <c r="K62" s="19"/>
      <c r="L62" s="5"/>
    </row>
    <row r="63" spans="1:12" x14ac:dyDescent="0.2">
      <c r="B63" s="28" t="s">
        <v>33</v>
      </c>
      <c r="C63" s="28"/>
      <c r="D63" s="6" t="s">
        <v>11</v>
      </c>
      <c r="E63" s="7" t="s">
        <v>12</v>
      </c>
      <c r="F63" s="8" t="s">
        <v>13</v>
      </c>
      <c r="G63" s="7" t="s">
        <v>14</v>
      </c>
      <c r="H63" s="9" t="s">
        <v>15</v>
      </c>
      <c r="I63" s="5"/>
      <c r="J63" s="5"/>
      <c r="K63" s="5"/>
      <c r="L63" s="5"/>
    </row>
    <row r="64" spans="1:12" ht="14.25" customHeight="1" x14ac:dyDescent="0.2">
      <c r="B64" s="5" t="s">
        <v>16</v>
      </c>
      <c r="C64" s="27" t="s">
        <v>17</v>
      </c>
      <c r="D64" s="27"/>
      <c r="E64" s="27"/>
      <c r="F64" s="27"/>
      <c r="G64" s="27"/>
      <c r="H64" s="5"/>
      <c r="I64" s="5"/>
      <c r="J64" s="5"/>
      <c r="K64" s="5"/>
      <c r="L64" s="5"/>
    </row>
    <row r="65" spans="2:12" x14ac:dyDescent="0.2">
      <c r="B65" s="5"/>
      <c r="C65" s="27" t="s">
        <v>18</v>
      </c>
      <c r="D65" s="27"/>
      <c r="E65" s="27"/>
      <c r="F65" s="27"/>
      <c r="G65" s="27"/>
      <c r="H65" s="5"/>
      <c r="I65" s="5"/>
      <c r="J65" s="5"/>
      <c r="K65" s="5"/>
      <c r="L65" s="5"/>
    </row>
    <row r="66" spans="2:12" ht="9" customHeight="1" x14ac:dyDescent="0.2">
      <c r="B66" s="5" t="s">
        <v>19</v>
      </c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2:12" x14ac:dyDescent="0.2">
      <c r="B67" s="29" t="s">
        <v>20</v>
      </c>
      <c r="C67" s="29"/>
      <c r="D67" s="29"/>
      <c r="E67" s="29"/>
      <c r="F67" s="29"/>
      <c r="G67" s="29"/>
      <c r="H67" s="10" t="s">
        <v>21</v>
      </c>
      <c r="I67" s="30" t="s">
        <v>22</v>
      </c>
      <c r="J67" s="31"/>
      <c r="K67" s="10" t="s">
        <v>23</v>
      </c>
      <c r="L67" s="12"/>
    </row>
    <row r="68" spans="2:12" ht="14.25" customHeight="1" x14ac:dyDescent="0.2">
      <c r="B68" s="32"/>
      <c r="C68" s="32"/>
      <c r="D68" s="32"/>
      <c r="E68" s="32"/>
      <c r="F68" s="32"/>
      <c r="G68" s="32"/>
      <c r="H68" s="1"/>
      <c r="I68" s="33"/>
      <c r="J68" s="33"/>
      <c r="K68" s="18"/>
      <c r="L68" s="11"/>
    </row>
    <row r="69" spans="2:12" x14ac:dyDescent="0.2"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11"/>
    </row>
    <row r="70" spans="2:12" x14ac:dyDescent="0.2">
      <c r="B70" s="22"/>
      <c r="C70" s="22"/>
      <c r="D70" s="22"/>
      <c r="E70" s="22"/>
      <c r="F70" s="22"/>
      <c r="G70" s="22"/>
      <c r="H70" s="1"/>
      <c r="I70" s="25"/>
      <c r="J70" s="26"/>
      <c r="K70" s="14"/>
      <c r="L70" s="11"/>
    </row>
    <row r="71" spans="2:12" x14ac:dyDescent="0.2"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11"/>
    </row>
    <row r="72" spans="2:12" x14ac:dyDescent="0.2">
      <c r="B72" s="22"/>
      <c r="C72" s="22"/>
      <c r="D72" s="22"/>
      <c r="E72" s="22"/>
      <c r="F72" s="22"/>
      <c r="G72" s="22"/>
      <c r="H72" s="1"/>
      <c r="I72" s="25"/>
      <c r="J72" s="26"/>
      <c r="K72" s="14"/>
      <c r="L72" s="11"/>
    </row>
    <row r="73" spans="2:12" x14ac:dyDescent="0.2"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11"/>
    </row>
    <row r="74" spans="2:12" ht="14.25" customHeight="1" x14ac:dyDescent="0.2">
      <c r="B74" s="24"/>
      <c r="C74" s="24"/>
      <c r="D74" s="24"/>
      <c r="E74" s="24"/>
      <c r="F74" s="24"/>
      <c r="G74" s="24"/>
      <c r="H74" s="1"/>
      <c r="I74" s="25"/>
      <c r="J74" s="26"/>
      <c r="K74" s="14"/>
      <c r="L74" s="11"/>
    </row>
    <row r="75" spans="2:12" x14ac:dyDescent="0.2"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11"/>
    </row>
    <row r="76" spans="2:12" x14ac:dyDescent="0.2">
      <c r="B76" s="22"/>
      <c r="C76" s="22"/>
      <c r="D76" s="22"/>
      <c r="E76" s="22"/>
      <c r="F76" s="22"/>
      <c r="G76" s="22"/>
      <c r="H76" s="1"/>
      <c r="I76" s="25"/>
      <c r="J76" s="26"/>
      <c r="K76" s="14"/>
      <c r="L76" s="11"/>
    </row>
    <row r="77" spans="2:12" x14ac:dyDescent="0.2"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11"/>
    </row>
    <row r="78" spans="2:12" x14ac:dyDescent="0.2">
      <c r="B78" s="22"/>
      <c r="C78" s="22"/>
      <c r="D78" s="22"/>
      <c r="E78" s="22"/>
      <c r="F78" s="22"/>
      <c r="G78" s="22"/>
      <c r="H78" s="1"/>
      <c r="I78" s="25"/>
      <c r="J78" s="26"/>
      <c r="K78" s="14"/>
      <c r="L78" s="11"/>
    </row>
    <row r="79" spans="2:12" x14ac:dyDescent="0.2"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11"/>
    </row>
    <row r="80" spans="2:12" x14ac:dyDescent="0.2">
      <c r="B80" s="22"/>
      <c r="C80" s="22"/>
      <c r="D80" s="22"/>
      <c r="E80" s="22"/>
      <c r="F80" s="22"/>
      <c r="G80" s="22"/>
      <c r="H80" s="1"/>
      <c r="I80" s="25"/>
      <c r="J80" s="26"/>
      <c r="K80" s="14"/>
      <c r="L80" s="11"/>
    </row>
    <row r="81" spans="1:12" x14ac:dyDescent="0.2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11"/>
    </row>
    <row r="82" spans="1:12" ht="14.25" customHeight="1" x14ac:dyDescent="0.2">
      <c r="B82" s="24"/>
      <c r="C82" s="24"/>
      <c r="D82" s="24"/>
      <c r="E82" s="24"/>
      <c r="F82" s="24"/>
      <c r="G82" s="24"/>
      <c r="H82" s="1"/>
      <c r="I82" s="25"/>
      <c r="J82" s="26"/>
      <c r="K82" s="14"/>
      <c r="L82" s="11"/>
    </row>
    <row r="83" spans="1:12" x14ac:dyDescent="0.2">
      <c r="B83" s="22"/>
      <c r="C83" s="22"/>
      <c r="D83" s="22"/>
      <c r="E83" s="22"/>
      <c r="F83" s="22"/>
      <c r="G83" s="22"/>
      <c r="H83" s="22"/>
      <c r="I83" s="22"/>
      <c r="J83" s="22"/>
      <c r="K83" s="22"/>
    </row>
    <row r="84" spans="1:12" ht="14.25" customHeight="1" x14ac:dyDescent="0.2">
      <c r="B84" s="24"/>
      <c r="C84" s="24"/>
      <c r="D84" s="24"/>
      <c r="E84" s="24"/>
      <c r="F84" s="24"/>
      <c r="G84" s="24"/>
      <c r="H84" s="1"/>
      <c r="I84" s="37"/>
      <c r="J84" s="26"/>
      <c r="K84" s="14"/>
    </row>
    <row r="85" spans="1:12" x14ac:dyDescent="0.2">
      <c r="B85" s="22"/>
      <c r="C85" s="22"/>
      <c r="D85" s="22"/>
      <c r="E85" s="22"/>
      <c r="F85" s="22"/>
      <c r="G85" s="22"/>
      <c r="H85" s="22"/>
      <c r="I85" s="22"/>
      <c r="J85" s="22"/>
      <c r="K85" s="22"/>
    </row>
    <row r="86" spans="1:12" x14ac:dyDescent="0.2">
      <c r="B86" s="22"/>
      <c r="C86" s="22"/>
      <c r="D86" s="22"/>
      <c r="E86" s="22"/>
      <c r="F86" s="22"/>
      <c r="G86" s="22"/>
      <c r="H86" s="1"/>
      <c r="I86" s="21"/>
      <c r="J86" s="21"/>
      <c r="K86" s="11"/>
    </row>
    <row r="87" spans="1:12" x14ac:dyDescent="0.2">
      <c r="B87" s="22"/>
      <c r="C87" s="22"/>
      <c r="D87" s="22"/>
      <c r="E87" s="22"/>
      <c r="F87" s="22"/>
      <c r="G87" s="22"/>
      <c r="H87" s="1"/>
      <c r="I87" s="21"/>
      <c r="J87" s="21"/>
      <c r="K87" s="11"/>
    </row>
    <row r="88" spans="1:12" x14ac:dyDescent="0.2">
      <c r="B88" s="5" t="s">
        <v>24</v>
      </c>
      <c r="C88" s="5"/>
      <c r="D88" s="5"/>
      <c r="E88" s="5"/>
      <c r="F88" s="7" t="s">
        <v>25</v>
      </c>
      <c r="G88" s="5"/>
      <c r="H88" s="5"/>
      <c r="K88" s="16">
        <f>SUM(K68,K70,K72,K74,K76,K78,K80,K82,K84)</f>
        <v>0</v>
      </c>
    </row>
    <row r="89" spans="1:12" x14ac:dyDescent="0.2">
      <c r="B89" s="5"/>
      <c r="C89" s="5"/>
      <c r="D89" s="5"/>
      <c r="E89" s="5"/>
      <c r="F89" s="7" t="s">
        <v>26</v>
      </c>
      <c r="G89" s="5"/>
      <c r="H89" s="5"/>
      <c r="K89" s="16">
        <v>0</v>
      </c>
    </row>
    <row r="90" spans="1:12" x14ac:dyDescent="0.2">
      <c r="B90" s="5"/>
      <c r="C90" s="5"/>
      <c r="D90" s="5"/>
      <c r="E90" s="5"/>
      <c r="F90" s="7" t="s">
        <v>27</v>
      </c>
      <c r="G90" s="5"/>
      <c r="H90" s="5"/>
      <c r="K90" s="16">
        <f>K88+K89</f>
        <v>0</v>
      </c>
    </row>
    <row r="91" spans="1:12" x14ac:dyDescent="0.2">
      <c r="B91" s="28" t="s">
        <v>28</v>
      </c>
      <c r="C91" s="28"/>
      <c r="D91" s="28"/>
      <c r="E91" s="5"/>
      <c r="F91" s="7" t="s">
        <v>29</v>
      </c>
      <c r="G91" s="5"/>
      <c r="H91" s="13">
        <v>0.16</v>
      </c>
      <c r="K91" s="17">
        <f>K90*0.16</f>
        <v>0</v>
      </c>
    </row>
    <row r="92" spans="1:12" x14ac:dyDescent="0.2">
      <c r="B92" s="5"/>
      <c r="C92" s="5"/>
      <c r="D92" s="5"/>
      <c r="E92" s="5"/>
      <c r="F92" s="7" t="s">
        <v>30</v>
      </c>
      <c r="G92" s="5"/>
      <c r="H92" s="5"/>
      <c r="K92" s="17">
        <f>K90*1.16</f>
        <v>0</v>
      </c>
    </row>
    <row r="96" spans="1:12" ht="13.5" customHeight="1" x14ac:dyDescent="0.2">
      <c r="A96" s="35" t="s">
        <v>34</v>
      </c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</row>
    <row r="97" spans="1:12" x14ac:dyDescent="0.2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</row>
    <row r="98" spans="1:12" ht="15" customHeight="1" x14ac:dyDescent="0.2">
      <c r="A98" s="36" t="s">
        <v>31</v>
      </c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</row>
    <row r="99" spans="1:12" ht="15" customHeight="1" x14ac:dyDescent="0.2"/>
    <row r="100" spans="1:12" x14ac:dyDescent="0.2">
      <c r="C100" s="2" t="s">
        <v>32</v>
      </c>
      <c r="D100" s="2"/>
      <c r="E100" s="2"/>
      <c r="F100" s="2"/>
      <c r="G100" s="2"/>
      <c r="H100" s="2"/>
      <c r="I100" s="2"/>
      <c r="J100" s="2"/>
      <c r="K100" s="2"/>
      <c r="L100" s="2"/>
    </row>
    <row r="101" spans="1:12" x14ac:dyDescent="0.2">
      <c r="D101" s="2"/>
      <c r="E101" s="2"/>
      <c r="F101" s="2"/>
      <c r="G101" s="2"/>
      <c r="H101" s="2"/>
      <c r="J101" s="2"/>
      <c r="K101" s="2"/>
    </row>
    <row r="102" spans="1:12" x14ac:dyDescent="0.2">
      <c r="C102" s="2"/>
      <c r="I102" s="2"/>
    </row>
    <row r="104" spans="1:12" x14ac:dyDescent="0.2">
      <c r="K104" s="38"/>
    </row>
    <row r="105" spans="1:12" x14ac:dyDescent="0.2">
      <c r="K105" s="39"/>
    </row>
    <row r="108" spans="1:12" x14ac:dyDescent="0.2">
      <c r="C108" s="20" t="s">
        <v>0</v>
      </c>
      <c r="D108" s="20"/>
      <c r="E108" s="5"/>
      <c r="F108" s="6"/>
      <c r="H108" s="5" t="s">
        <v>1</v>
      </c>
      <c r="I108" s="4"/>
    </row>
    <row r="109" spans="1:12" ht="20.25" customHeight="1" x14ac:dyDescent="0.2"/>
    <row r="110" spans="1:12" ht="14.25" customHeight="1" x14ac:dyDescent="0.2">
      <c r="B110" s="5" t="s">
        <v>2</v>
      </c>
      <c r="C110" s="34" t="s">
        <v>3</v>
      </c>
      <c r="D110" s="34"/>
      <c r="E110" s="5"/>
      <c r="F110" s="5" t="s">
        <v>4</v>
      </c>
      <c r="G110" s="5"/>
      <c r="H110" s="8" t="s">
        <v>5</v>
      </c>
      <c r="J110" s="7" t="s">
        <v>6</v>
      </c>
      <c r="K110" s="19"/>
    </row>
    <row r="111" spans="1:12" x14ac:dyDescent="0.2">
      <c r="B111" s="5" t="s">
        <v>7</v>
      </c>
      <c r="C111" s="23" t="s">
        <v>8</v>
      </c>
      <c r="D111" s="23"/>
      <c r="E111" s="7" t="s">
        <v>9</v>
      </c>
      <c r="F111" s="5"/>
      <c r="G111" s="5"/>
      <c r="H111" s="5"/>
      <c r="I111" s="5"/>
      <c r="J111" s="7" t="s">
        <v>10</v>
      </c>
      <c r="K111" s="19"/>
      <c r="L111" s="5"/>
    </row>
    <row r="112" spans="1:12" x14ac:dyDescent="0.2">
      <c r="B112" s="28" t="s">
        <v>33</v>
      </c>
      <c r="C112" s="28"/>
      <c r="D112" s="6" t="s">
        <v>11</v>
      </c>
      <c r="E112" s="7" t="s">
        <v>12</v>
      </c>
      <c r="F112" s="8" t="s">
        <v>13</v>
      </c>
      <c r="G112" s="7" t="s">
        <v>14</v>
      </c>
      <c r="H112" s="9" t="s">
        <v>15</v>
      </c>
      <c r="I112" s="5"/>
      <c r="J112" s="5"/>
      <c r="K112" s="5"/>
      <c r="L112" s="5"/>
    </row>
    <row r="113" spans="2:12" ht="14.25" customHeight="1" x14ac:dyDescent="0.2">
      <c r="B113" s="5" t="s">
        <v>16</v>
      </c>
      <c r="C113" s="27" t="s">
        <v>17</v>
      </c>
      <c r="D113" s="27"/>
      <c r="E113" s="27"/>
      <c r="F113" s="27"/>
      <c r="G113" s="27"/>
      <c r="H113" s="5"/>
      <c r="I113" s="5"/>
      <c r="J113" s="5"/>
      <c r="K113" s="5"/>
      <c r="L113" s="5"/>
    </row>
    <row r="114" spans="2:12" x14ac:dyDescent="0.2">
      <c r="B114" s="5"/>
      <c r="C114" s="27" t="s">
        <v>18</v>
      </c>
      <c r="D114" s="27"/>
      <c r="E114" s="27"/>
      <c r="F114" s="27"/>
      <c r="G114" s="27"/>
      <c r="H114" s="5"/>
      <c r="I114" s="5"/>
      <c r="J114" s="5"/>
      <c r="K114" s="5"/>
      <c r="L114" s="5"/>
    </row>
    <row r="115" spans="2:12" ht="9" customHeight="1" x14ac:dyDescent="0.2">
      <c r="B115" s="5" t="s">
        <v>19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2:12" x14ac:dyDescent="0.2">
      <c r="B116" s="29" t="s">
        <v>20</v>
      </c>
      <c r="C116" s="29"/>
      <c r="D116" s="29"/>
      <c r="E116" s="29"/>
      <c r="F116" s="29"/>
      <c r="G116" s="29"/>
      <c r="H116" s="10" t="s">
        <v>21</v>
      </c>
      <c r="I116" s="30" t="s">
        <v>22</v>
      </c>
      <c r="J116" s="31"/>
      <c r="K116" s="10" t="s">
        <v>23</v>
      </c>
      <c r="L116" s="12"/>
    </row>
    <row r="117" spans="2:12" ht="14.25" customHeight="1" x14ac:dyDescent="0.2">
      <c r="B117" s="32"/>
      <c r="C117" s="32"/>
      <c r="D117" s="32"/>
      <c r="E117" s="32"/>
      <c r="F117" s="32"/>
      <c r="G117" s="32"/>
      <c r="H117" s="1"/>
      <c r="I117" s="33"/>
      <c r="J117" s="33"/>
      <c r="K117" s="18"/>
      <c r="L117" s="11"/>
    </row>
    <row r="118" spans="2:12" x14ac:dyDescent="0.2"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11"/>
    </row>
    <row r="119" spans="2:12" x14ac:dyDescent="0.2">
      <c r="B119" s="22"/>
      <c r="C119" s="22"/>
      <c r="D119" s="22"/>
      <c r="E119" s="22"/>
      <c r="F119" s="22"/>
      <c r="G119" s="22"/>
      <c r="H119" s="1"/>
      <c r="I119" s="25"/>
      <c r="J119" s="26"/>
      <c r="K119" s="14"/>
      <c r="L119" s="11"/>
    </row>
    <row r="120" spans="2:12" x14ac:dyDescent="0.2"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11"/>
    </row>
    <row r="121" spans="2:12" x14ac:dyDescent="0.2">
      <c r="B121" s="22"/>
      <c r="C121" s="22"/>
      <c r="D121" s="22"/>
      <c r="E121" s="22"/>
      <c r="F121" s="22"/>
      <c r="G121" s="22"/>
      <c r="H121" s="1"/>
      <c r="I121" s="25"/>
      <c r="J121" s="26"/>
      <c r="K121" s="14"/>
      <c r="L121" s="11"/>
    </row>
    <row r="122" spans="2:12" x14ac:dyDescent="0.2"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11"/>
    </row>
    <row r="123" spans="2:12" ht="14.25" customHeight="1" x14ac:dyDescent="0.2">
      <c r="B123" s="24"/>
      <c r="C123" s="24"/>
      <c r="D123" s="24"/>
      <c r="E123" s="24"/>
      <c r="F123" s="24"/>
      <c r="G123" s="24"/>
      <c r="H123" s="1"/>
      <c r="I123" s="25"/>
      <c r="J123" s="26"/>
      <c r="K123" s="14"/>
      <c r="L123" s="11"/>
    </row>
    <row r="124" spans="2:12" x14ac:dyDescent="0.2"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11"/>
    </row>
    <row r="125" spans="2:12" x14ac:dyDescent="0.2">
      <c r="B125" s="22"/>
      <c r="C125" s="22"/>
      <c r="D125" s="22"/>
      <c r="E125" s="22"/>
      <c r="F125" s="22"/>
      <c r="G125" s="22"/>
      <c r="H125" s="1"/>
      <c r="I125" s="25"/>
      <c r="J125" s="26"/>
      <c r="K125" s="14"/>
      <c r="L125" s="11"/>
    </row>
    <row r="126" spans="2:12" x14ac:dyDescent="0.2"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11"/>
    </row>
    <row r="127" spans="2:12" x14ac:dyDescent="0.2">
      <c r="B127" s="22"/>
      <c r="C127" s="22"/>
      <c r="D127" s="22"/>
      <c r="E127" s="22"/>
      <c r="F127" s="22"/>
      <c r="G127" s="22"/>
      <c r="H127" s="1"/>
      <c r="I127" s="25"/>
      <c r="J127" s="26"/>
      <c r="K127" s="14"/>
      <c r="L127" s="11"/>
    </row>
    <row r="128" spans="2:12" x14ac:dyDescent="0.2"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11"/>
    </row>
    <row r="129" spans="2:12" x14ac:dyDescent="0.2">
      <c r="B129" s="22"/>
      <c r="C129" s="22"/>
      <c r="D129" s="22"/>
      <c r="E129" s="22"/>
      <c r="F129" s="22"/>
      <c r="G129" s="22"/>
      <c r="H129" s="1"/>
      <c r="I129" s="25"/>
      <c r="J129" s="26"/>
      <c r="K129" s="14"/>
      <c r="L129" s="11"/>
    </row>
    <row r="130" spans="2:12" x14ac:dyDescent="0.2"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11"/>
    </row>
    <row r="131" spans="2:12" ht="14.25" customHeight="1" x14ac:dyDescent="0.2">
      <c r="B131" s="24"/>
      <c r="C131" s="24"/>
      <c r="D131" s="24"/>
      <c r="E131" s="24"/>
      <c r="F131" s="24"/>
      <c r="G131" s="24"/>
      <c r="H131" s="1"/>
      <c r="I131" s="25"/>
      <c r="J131" s="26"/>
      <c r="K131" s="14"/>
      <c r="L131" s="11"/>
    </row>
    <row r="132" spans="2:12" x14ac:dyDescent="0.2">
      <c r="B132" s="22"/>
      <c r="C132" s="22"/>
      <c r="D132" s="22"/>
      <c r="E132" s="22"/>
      <c r="F132" s="22"/>
      <c r="G132" s="22"/>
      <c r="H132" s="22"/>
      <c r="I132" s="22"/>
      <c r="J132" s="22"/>
      <c r="K132" s="22"/>
    </row>
    <row r="133" spans="2:12" ht="14.25" customHeight="1" x14ac:dyDescent="0.2">
      <c r="B133" s="24"/>
      <c r="C133" s="24"/>
      <c r="D133" s="24"/>
      <c r="E133" s="24"/>
      <c r="F133" s="24"/>
      <c r="G133" s="24"/>
      <c r="H133" s="1"/>
      <c r="I133" s="37"/>
      <c r="J133" s="26"/>
      <c r="K133" s="14"/>
    </row>
    <row r="134" spans="2:12" x14ac:dyDescent="0.2">
      <c r="B134" s="22"/>
      <c r="C134" s="22"/>
      <c r="D134" s="22"/>
      <c r="E134" s="22"/>
      <c r="F134" s="22"/>
      <c r="G134" s="22"/>
      <c r="H134" s="22"/>
      <c r="I134" s="22"/>
      <c r="J134" s="22"/>
      <c r="K134" s="22"/>
    </row>
    <row r="135" spans="2:12" x14ac:dyDescent="0.2">
      <c r="B135" s="22"/>
      <c r="C135" s="22"/>
      <c r="D135" s="22"/>
      <c r="E135" s="22"/>
      <c r="F135" s="22"/>
      <c r="G135" s="22"/>
      <c r="H135" s="1"/>
      <c r="I135" s="21"/>
      <c r="J135" s="21"/>
      <c r="K135" s="11"/>
    </row>
    <row r="136" spans="2:12" x14ac:dyDescent="0.2">
      <c r="B136" s="22"/>
      <c r="C136" s="22"/>
      <c r="D136" s="22"/>
      <c r="E136" s="22"/>
      <c r="F136" s="22"/>
      <c r="G136" s="22"/>
      <c r="H136" s="1"/>
      <c r="I136" s="21"/>
      <c r="J136" s="21"/>
      <c r="K136" s="11"/>
    </row>
    <row r="137" spans="2:12" x14ac:dyDescent="0.2">
      <c r="B137" s="5" t="s">
        <v>24</v>
      </c>
      <c r="C137" s="5"/>
      <c r="D137" s="5"/>
      <c r="E137" s="5"/>
      <c r="F137" s="7" t="s">
        <v>25</v>
      </c>
      <c r="G137" s="5"/>
      <c r="H137" s="5"/>
      <c r="K137" s="16">
        <f>SUM(K117,K119,K121,K123,K125,K127,K129,K131,K133)</f>
        <v>0</v>
      </c>
    </row>
    <row r="138" spans="2:12" x14ac:dyDescent="0.2">
      <c r="B138" s="5"/>
      <c r="C138" s="5"/>
      <c r="D138" s="5"/>
      <c r="E138" s="5"/>
      <c r="F138" s="7" t="s">
        <v>26</v>
      </c>
      <c r="G138" s="5"/>
      <c r="H138" s="5"/>
      <c r="K138" s="16">
        <v>0</v>
      </c>
    </row>
    <row r="139" spans="2:12" x14ac:dyDescent="0.2">
      <c r="B139" s="5"/>
      <c r="C139" s="5"/>
      <c r="D139" s="5"/>
      <c r="E139" s="5"/>
      <c r="F139" s="7" t="s">
        <v>27</v>
      </c>
      <c r="G139" s="5"/>
      <c r="H139" s="5"/>
      <c r="K139" s="16">
        <f>K137+K138</f>
        <v>0</v>
      </c>
    </row>
    <row r="140" spans="2:12" x14ac:dyDescent="0.2">
      <c r="B140" s="28" t="s">
        <v>28</v>
      </c>
      <c r="C140" s="28"/>
      <c r="D140" s="28"/>
      <c r="E140" s="5"/>
      <c r="F140" s="7" t="s">
        <v>29</v>
      </c>
      <c r="G140" s="5"/>
      <c r="H140" s="13">
        <v>0.16</v>
      </c>
      <c r="K140" s="17">
        <f>K139*0.16</f>
        <v>0</v>
      </c>
    </row>
    <row r="141" spans="2:12" x14ac:dyDescent="0.2">
      <c r="B141" s="5"/>
      <c r="C141" s="5"/>
      <c r="D141" s="5"/>
      <c r="E141" s="5"/>
      <c r="F141" s="7" t="s">
        <v>30</v>
      </c>
      <c r="G141" s="5"/>
      <c r="H141" s="5"/>
      <c r="K141" s="17">
        <f>K139*1.16</f>
        <v>0</v>
      </c>
    </row>
    <row r="145" spans="1:15" ht="13.5" customHeight="1" x14ac:dyDescent="0.2">
      <c r="A145" s="35" t="s">
        <v>34</v>
      </c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</row>
    <row r="146" spans="1:15" x14ac:dyDescent="0.2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</row>
    <row r="147" spans="1:15" ht="15" customHeight="1" x14ac:dyDescent="0.2">
      <c r="A147" s="36" t="s">
        <v>31</v>
      </c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</row>
    <row r="148" spans="1:15" ht="15" customHeight="1" x14ac:dyDescent="0.2"/>
    <row r="149" spans="1:15" x14ac:dyDescent="0.2">
      <c r="C149" s="2" t="s">
        <v>32</v>
      </c>
      <c r="D149" s="2"/>
      <c r="E149" s="2"/>
      <c r="F149" s="2"/>
      <c r="G149" s="2"/>
      <c r="H149" s="2"/>
      <c r="I149" s="2"/>
      <c r="J149" s="2"/>
      <c r="K149" s="2"/>
      <c r="L149" s="2"/>
    </row>
    <row r="150" spans="1:15" x14ac:dyDescent="0.2">
      <c r="D150" s="2"/>
      <c r="E150" s="2"/>
      <c r="F150" s="2"/>
      <c r="G150" s="2"/>
      <c r="H150" s="2"/>
      <c r="J150" s="2"/>
      <c r="K150" s="2"/>
    </row>
    <row r="151" spans="1:15" x14ac:dyDescent="0.2">
      <c r="C151" s="2"/>
      <c r="I151" s="2"/>
      <c r="O151" s="3" t="s">
        <v>35</v>
      </c>
    </row>
    <row r="153" spans="1:15" x14ac:dyDescent="0.2">
      <c r="K153" s="38"/>
    </row>
    <row r="154" spans="1:15" x14ac:dyDescent="0.2">
      <c r="K154" s="39"/>
    </row>
    <row r="157" spans="1:15" x14ac:dyDescent="0.2">
      <c r="C157" s="20" t="s">
        <v>0</v>
      </c>
      <c r="D157" s="20"/>
      <c r="E157" s="5"/>
      <c r="F157" s="6"/>
      <c r="H157" s="5" t="s">
        <v>1</v>
      </c>
      <c r="I157" s="4"/>
    </row>
    <row r="158" spans="1:15" ht="20.25" customHeight="1" x14ac:dyDescent="0.2"/>
    <row r="159" spans="1:15" ht="14.25" customHeight="1" x14ac:dyDescent="0.2">
      <c r="B159" s="5" t="s">
        <v>2</v>
      </c>
      <c r="C159" s="34" t="s">
        <v>3</v>
      </c>
      <c r="D159" s="34"/>
      <c r="E159" s="5"/>
      <c r="F159" s="5" t="s">
        <v>4</v>
      </c>
      <c r="G159" s="5"/>
      <c r="H159" s="8" t="s">
        <v>5</v>
      </c>
      <c r="J159" s="7" t="s">
        <v>6</v>
      </c>
      <c r="K159" s="19"/>
    </row>
    <row r="160" spans="1:15" x14ac:dyDescent="0.2">
      <c r="B160" s="5" t="s">
        <v>7</v>
      </c>
      <c r="C160" s="23" t="s">
        <v>8</v>
      </c>
      <c r="D160" s="23"/>
      <c r="E160" s="7" t="s">
        <v>9</v>
      </c>
      <c r="F160" s="5"/>
      <c r="G160" s="5"/>
      <c r="H160" s="5"/>
      <c r="I160" s="5"/>
      <c r="J160" s="7" t="s">
        <v>10</v>
      </c>
      <c r="K160" s="19"/>
      <c r="L160" s="5"/>
    </row>
    <row r="161" spans="2:12" x14ac:dyDescent="0.2">
      <c r="B161" s="28" t="s">
        <v>33</v>
      </c>
      <c r="C161" s="28"/>
      <c r="D161" s="6" t="s">
        <v>11</v>
      </c>
      <c r="E161" s="7" t="s">
        <v>12</v>
      </c>
      <c r="F161" s="8" t="s">
        <v>13</v>
      </c>
      <c r="G161" s="7" t="s">
        <v>14</v>
      </c>
      <c r="H161" s="9" t="s">
        <v>15</v>
      </c>
      <c r="I161" s="5"/>
      <c r="J161" s="5"/>
      <c r="K161" s="5"/>
      <c r="L161" s="5"/>
    </row>
    <row r="162" spans="2:12" ht="14.25" customHeight="1" x14ac:dyDescent="0.2">
      <c r="B162" s="5" t="s">
        <v>16</v>
      </c>
      <c r="C162" s="27" t="s">
        <v>17</v>
      </c>
      <c r="D162" s="27"/>
      <c r="E162" s="27"/>
      <c r="F162" s="27"/>
      <c r="G162" s="27"/>
      <c r="H162" s="5"/>
      <c r="I162" s="5"/>
      <c r="J162" s="5"/>
      <c r="K162" s="5"/>
      <c r="L162" s="5"/>
    </row>
    <row r="163" spans="2:12" x14ac:dyDescent="0.2">
      <c r="B163" s="5"/>
      <c r="C163" s="27" t="s">
        <v>18</v>
      </c>
      <c r="D163" s="27"/>
      <c r="E163" s="27"/>
      <c r="F163" s="27"/>
      <c r="G163" s="27"/>
      <c r="H163" s="5"/>
      <c r="I163" s="5"/>
      <c r="J163" s="5"/>
      <c r="K163" s="5"/>
      <c r="L163" s="5"/>
    </row>
    <row r="164" spans="2:12" ht="9" customHeight="1" x14ac:dyDescent="0.2">
      <c r="B164" s="5" t="s">
        <v>19</v>
      </c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2:12" x14ac:dyDescent="0.2">
      <c r="B165" s="29" t="s">
        <v>20</v>
      </c>
      <c r="C165" s="29"/>
      <c r="D165" s="29"/>
      <c r="E165" s="29"/>
      <c r="F165" s="29"/>
      <c r="G165" s="29"/>
      <c r="H165" s="10" t="s">
        <v>21</v>
      </c>
      <c r="I165" s="30" t="s">
        <v>22</v>
      </c>
      <c r="J165" s="31"/>
      <c r="K165" s="10" t="s">
        <v>23</v>
      </c>
      <c r="L165" s="12"/>
    </row>
    <row r="166" spans="2:12" ht="14.25" customHeight="1" x14ac:dyDescent="0.2">
      <c r="B166" s="32"/>
      <c r="C166" s="32"/>
      <c r="D166" s="32"/>
      <c r="E166" s="32"/>
      <c r="F166" s="32"/>
      <c r="G166" s="32"/>
      <c r="H166" s="1"/>
      <c r="I166" s="33"/>
      <c r="J166" s="33"/>
      <c r="K166" s="18"/>
      <c r="L166" s="11"/>
    </row>
    <row r="167" spans="2:12" x14ac:dyDescent="0.2"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11"/>
    </row>
    <row r="168" spans="2:12" x14ac:dyDescent="0.2">
      <c r="B168" s="22"/>
      <c r="C168" s="22"/>
      <c r="D168" s="22"/>
      <c r="E168" s="22"/>
      <c r="F168" s="22"/>
      <c r="G168" s="22"/>
      <c r="H168" s="1"/>
      <c r="I168" s="25"/>
      <c r="J168" s="26"/>
      <c r="K168" s="14"/>
      <c r="L168" s="11"/>
    </row>
    <row r="169" spans="2:12" x14ac:dyDescent="0.2"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11"/>
    </row>
    <row r="170" spans="2:12" x14ac:dyDescent="0.2">
      <c r="B170" s="22"/>
      <c r="C170" s="22"/>
      <c r="D170" s="22"/>
      <c r="E170" s="22"/>
      <c r="F170" s="22"/>
      <c r="G170" s="22"/>
      <c r="H170" s="1"/>
      <c r="I170" s="25"/>
      <c r="J170" s="26"/>
      <c r="K170" s="14"/>
      <c r="L170" s="11"/>
    </row>
    <row r="171" spans="2:12" x14ac:dyDescent="0.2"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11"/>
    </row>
    <row r="172" spans="2:12" ht="14.25" customHeight="1" x14ac:dyDescent="0.2">
      <c r="B172" s="24"/>
      <c r="C172" s="24"/>
      <c r="D172" s="24"/>
      <c r="E172" s="24"/>
      <c r="F172" s="24"/>
      <c r="G172" s="24"/>
      <c r="H172" s="1"/>
      <c r="I172" s="25"/>
      <c r="J172" s="26"/>
      <c r="K172" s="14"/>
      <c r="L172" s="11"/>
    </row>
    <row r="173" spans="2:12" x14ac:dyDescent="0.2"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11"/>
    </row>
    <row r="174" spans="2:12" x14ac:dyDescent="0.2">
      <c r="B174" s="22"/>
      <c r="C174" s="22"/>
      <c r="D174" s="22"/>
      <c r="E174" s="22"/>
      <c r="F174" s="22"/>
      <c r="G174" s="22"/>
      <c r="H174" s="1"/>
      <c r="I174" s="25"/>
      <c r="J174" s="26"/>
      <c r="K174" s="14"/>
      <c r="L174" s="11"/>
    </row>
    <row r="175" spans="2:12" x14ac:dyDescent="0.2"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11"/>
    </row>
    <row r="176" spans="2:12" x14ac:dyDescent="0.2">
      <c r="B176" s="22"/>
      <c r="C176" s="22"/>
      <c r="D176" s="22"/>
      <c r="E176" s="22"/>
      <c r="F176" s="22"/>
      <c r="G176" s="22"/>
      <c r="H176" s="1"/>
      <c r="I176" s="25"/>
      <c r="J176" s="26"/>
      <c r="K176" s="14"/>
      <c r="L176" s="11"/>
    </row>
    <row r="177" spans="2:12" x14ac:dyDescent="0.2"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11"/>
    </row>
    <row r="178" spans="2:12" x14ac:dyDescent="0.2">
      <c r="B178" s="22"/>
      <c r="C178" s="22"/>
      <c r="D178" s="22"/>
      <c r="E178" s="22"/>
      <c r="F178" s="22"/>
      <c r="G178" s="22"/>
      <c r="H178" s="1"/>
      <c r="I178" s="25"/>
      <c r="J178" s="26"/>
      <c r="K178" s="14"/>
      <c r="L178" s="11"/>
    </row>
    <row r="179" spans="2:12" x14ac:dyDescent="0.2"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11"/>
    </row>
    <row r="180" spans="2:12" ht="14.25" customHeight="1" x14ac:dyDescent="0.2">
      <c r="B180" s="24"/>
      <c r="C180" s="24"/>
      <c r="D180" s="24"/>
      <c r="E180" s="24"/>
      <c r="F180" s="24"/>
      <c r="G180" s="24"/>
      <c r="H180" s="1"/>
      <c r="I180" s="25"/>
      <c r="J180" s="26"/>
      <c r="K180" s="14"/>
      <c r="L180" s="11"/>
    </row>
    <row r="181" spans="2:12" x14ac:dyDescent="0.2">
      <c r="B181" s="22"/>
      <c r="C181" s="22"/>
      <c r="D181" s="22"/>
      <c r="E181" s="22"/>
      <c r="F181" s="22"/>
      <c r="G181" s="22"/>
      <c r="H181" s="22"/>
      <c r="I181" s="22"/>
      <c r="J181" s="22"/>
      <c r="K181" s="22"/>
    </row>
    <row r="182" spans="2:12" ht="14.25" customHeight="1" x14ac:dyDescent="0.2">
      <c r="B182" s="24"/>
      <c r="C182" s="24"/>
      <c r="D182" s="24"/>
      <c r="E182" s="24"/>
      <c r="F182" s="24"/>
      <c r="G182" s="24"/>
      <c r="H182" s="1"/>
      <c r="I182" s="37"/>
      <c r="J182" s="26"/>
      <c r="K182" s="14"/>
    </row>
    <row r="183" spans="2:12" x14ac:dyDescent="0.2">
      <c r="B183" s="22"/>
      <c r="C183" s="22"/>
      <c r="D183" s="22"/>
      <c r="E183" s="22"/>
      <c r="F183" s="22"/>
      <c r="G183" s="22"/>
      <c r="H183" s="22"/>
      <c r="I183" s="22"/>
      <c r="J183" s="22"/>
      <c r="K183" s="22"/>
    </row>
    <row r="184" spans="2:12" x14ac:dyDescent="0.2">
      <c r="B184" s="22"/>
      <c r="C184" s="22"/>
      <c r="D184" s="22"/>
      <c r="E184" s="22"/>
      <c r="F184" s="22"/>
      <c r="G184" s="22"/>
      <c r="H184" s="1"/>
      <c r="I184" s="21"/>
      <c r="J184" s="21"/>
      <c r="K184" s="11"/>
    </row>
    <row r="185" spans="2:12" x14ac:dyDescent="0.2">
      <c r="B185" s="22"/>
      <c r="C185" s="22"/>
      <c r="D185" s="22"/>
      <c r="E185" s="22"/>
      <c r="F185" s="22"/>
      <c r="G185" s="22"/>
      <c r="H185" s="1"/>
      <c r="I185" s="21"/>
      <c r="J185" s="21"/>
      <c r="K185" s="11"/>
    </row>
    <row r="186" spans="2:12" x14ac:dyDescent="0.2">
      <c r="B186" s="5" t="s">
        <v>24</v>
      </c>
      <c r="C186" s="5"/>
      <c r="D186" s="5"/>
      <c r="E186" s="5"/>
      <c r="F186" s="7" t="s">
        <v>25</v>
      </c>
      <c r="G186" s="5"/>
      <c r="H186" s="5"/>
      <c r="K186" s="16">
        <f>SUM(K166,K168,K170,K172,K174,K176,K178,K180,K182)</f>
        <v>0</v>
      </c>
    </row>
    <row r="187" spans="2:12" x14ac:dyDescent="0.2">
      <c r="B187" s="5"/>
      <c r="C187" s="5"/>
      <c r="D187" s="5"/>
      <c r="E187" s="5"/>
      <c r="F187" s="7" t="s">
        <v>26</v>
      </c>
      <c r="G187" s="5"/>
      <c r="H187" s="5"/>
      <c r="K187" s="16">
        <v>0</v>
      </c>
    </row>
    <row r="188" spans="2:12" x14ac:dyDescent="0.2">
      <c r="B188" s="5"/>
      <c r="C188" s="5"/>
      <c r="D188" s="5"/>
      <c r="E188" s="5"/>
      <c r="F188" s="7" t="s">
        <v>27</v>
      </c>
      <c r="G188" s="5"/>
      <c r="H188" s="5"/>
      <c r="K188" s="16">
        <f>K186+K187</f>
        <v>0</v>
      </c>
    </row>
    <row r="189" spans="2:12" x14ac:dyDescent="0.2">
      <c r="B189" s="28" t="s">
        <v>28</v>
      </c>
      <c r="C189" s="28"/>
      <c r="D189" s="28"/>
      <c r="E189" s="5"/>
      <c r="F189" s="7" t="s">
        <v>29</v>
      </c>
      <c r="G189" s="5"/>
      <c r="H189" s="13">
        <v>0.16</v>
      </c>
      <c r="K189" s="17">
        <f>K188*0.16</f>
        <v>0</v>
      </c>
    </row>
    <row r="190" spans="2:12" x14ac:dyDescent="0.2">
      <c r="B190" s="5"/>
      <c r="C190" s="5"/>
      <c r="D190" s="5"/>
      <c r="E190" s="5"/>
      <c r="F190" s="7" t="s">
        <v>30</v>
      </c>
      <c r="G190" s="5"/>
      <c r="H190" s="5"/>
      <c r="K190" s="17">
        <f>K188*1.16</f>
        <v>0</v>
      </c>
    </row>
    <row r="194" spans="1:12" ht="13.5" customHeight="1" x14ac:dyDescent="0.2">
      <c r="A194" s="35" t="s">
        <v>34</v>
      </c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</row>
    <row r="195" spans="1:12" x14ac:dyDescent="0.2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</row>
    <row r="196" spans="1:12" ht="15" customHeight="1" x14ac:dyDescent="0.2">
      <c r="A196" s="36" t="s">
        <v>31</v>
      </c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</row>
    <row r="197" spans="1:12" ht="15" customHeight="1" x14ac:dyDescent="0.2"/>
    <row r="198" spans="1:12" x14ac:dyDescent="0.2">
      <c r="C198" s="2" t="s">
        <v>32</v>
      </c>
      <c r="D198" s="2"/>
      <c r="E198" s="2"/>
      <c r="F198" s="2"/>
      <c r="G198" s="2"/>
      <c r="H198" s="2"/>
      <c r="I198" s="2"/>
      <c r="J198" s="2"/>
      <c r="K198" s="2"/>
      <c r="L198" s="2"/>
    </row>
    <row r="199" spans="1:12" x14ac:dyDescent="0.2">
      <c r="D199" s="2"/>
      <c r="E199" s="2"/>
      <c r="F199" s="2"/>
      <c r="G199" s="2"/>
      <c r="H199" s="2"/>
      <c r="J199" s="2"/>
      <c r="K199" s="2"/>
    </row>
    <row r="200" spans="1:12" x14ac:dyDescent="0.2">
      <c r="C200" s="2"/>
      <c r="I200" s="2"/>
    </row>
    <row r="202" spans="1:12" x14ac:dyDescent="0.2">
      <c r="K202" s="38"/>
    </row>
    <row r="203" spans="1:12" x14ac:dyDescent="0.2">
      <c r="K203" s="39"/>
    </row>
    <row r="206" spans="1:12" x14ac:dyDescent="0.2">
      <c r="C206" s="20" t="s">
        <v>0</v>
      </c>
      <c r="D206" s="20"/>
      <c r="E206" s="5"/>
      <c r="F206" s="6"/>
      <c r="H206" s="5" t="s">
        <v>1</v>
      </c>
      <c r="I206" s="4"/>
    </row>
    <row r="207" spans="1:12" ht="20.25" customHeight="1" x14ac:dyDescent="0.2"/>
    <row r="208" spans="1:12" ht="14.25" customHeight="1" x14ac:dyDescent="0.2">
      <c r="B208" s="5" t="s">
        <v>2</v>
      </c>
      <c r="C208" s="34" t="s">
        <v>3</v>
      </c>
      <c r="D208" s="34"/>
      <c r="E208" s="5"/>
      <c r="F208" s="5" t="s">
        <v>4</v>
      </c>
      <c r="G208" s="5"/>
      <c r="H208" s="8" t="s">
        <v>5</v>
      </c>
      <c r="J208" s="7" t="s">
        <v>6</v>
      </c>
      <c r="K208" s="19"/>
    </row>
    <row r="209" spans="2:12" x14ac:dyDescent="0.2">
      <c r="B209" s="5" t="s">
        <v>7</v>
      </c>
      <c r="C209" s="23" t="s">
        <v>8</v>
      </c>
      <c r="D209" s="23"/>
      <c r="E209" s="7" t="s">
        <v>9</v>
      </c>
      <c r="F209" s="5"/>
      <c r="G209" s="5"/>
      <c r="H209" s="5"/>
      <c r="I209" s="5"/>
      <c r="J209" s="7" t="s">
        <v>10</v>
      </c>
      <c r="K209" s="19"/>
      <c r="L209" s="5"/>
    </row>
    <row r="210" spans="2:12" x14ac:dyDescent="0.2">
      <c r="B210" s="28" t="s">
        <v>33</v>
      </c>
      <c r="C210" s="28"/>
      <c r="D210" s="6" t="s">
        <v>11</v>
      </c>
      <c r="E210" s="7" t="s">
        <v>12</v>
      </c>
      <c r="F210" s="8" t="s">
        <v>13</v>
      </c>
      <c r="G210" s="7" t="s">
        <v>14</v>
      </c>
      <c r="H210" s="9" t="s">
        <v>15</v>
      </c>
      <c r="I210" s="5"/>
      <c r="J210" s="5"/>
      <c r="K210" s="5"/>
      <c r="L210" s="5"/>
    </row>
    <row r="211" spans="2:12" ht="14.25" customHeight="1" x14ac:dyDescent="0.2">
      <c r="B211" s="5" t="s">
        <v>16</v>
      </c>
      <c r="C211" s="27" t="s">
        <v>17</v>
      </c>
      <c r="D211" s="27"/>
      <c r="E211" s="27"/>
      <c r="F211" s="27"/>
      <c r="G211" s="27"/>
      <c r="H211" s="5"/>
      <c r="I211" s="5"/>
      <c r="J211" s="5"/>
      <c r="K211" s="5"/>
      <c r="L211" s="5"/>
    </row>
    <row r="212" spans="2:12" x14ac:dyDescent="0.2">
      <c r="B212" s="5"/>
      <c r="C212" s="27" t="s">
        <v>18</v>
      </c>
      <c r="D212" s="27"/>
      <c r="E212" s="27"/>
      <c r="F212" s="27"/>
      <c r="G212" s="27"/>
      <c r="H212" s="5"/>
      <c r="I212" s="5"/>
      <c r="J212" s="5"/>
      <c r="K212" s="5"/>
      <c r="L212" s="5"/>
    </row>
    <row r="213" spans="2:12" ht="9" customHeight="1" x14ac:dyDescent="0.2">
      <c r="B213" s="5" t="s">
        <v>19</v>
      </c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spans="2:12" x14ac:dyDescent="0.2">
      <c r="B214" s="29" t="s">
        <v>20</v>
      </c>
      <c r="C214" s="29"/>
      <c r="D214" s="29"/>
      <c r="E214" s="29"/>
      <c r="F214" s="29"/>
      <c r="G214" s="29"/>
      <c r="H214" s="10" t="s">
        <v>21</v>
      </c>
      <c r="I214" s="30" t="s">
        <v>22</v>
      </c>
      <c r="J214" s="31"/>
      <c r="K214" s="10" t="s">
        <v>23</v>
      </c>
      <c r="L214" s="12"/>
    </row>
    <row r="215" spans="2:12" ht="14.25" customHeight="1" x14ac:dyDescent="0.2">
      <c r="B215" s="32"/>
      <c r="C215" s="32"/>
      <c r="D215" s="32"/>
      <c r="E215" s="32"/>
      <c r="F215" s="32"/>
      <c r="G215" s="32"/>
      <c r="H215" s="1"/>
      <c r="I215" s="33"/>
      <c r="J215" s="33"/>
      <c r="K215" s="18"/>
      <c r="L215" s="11"/>
    </row>
    <row r="216" spans="2:12" x14ac:dyDescent="0.2"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11"/>
    </row>
    <row r="217" spans="2:12" x14ac:dyDescent="0.2">
      <c r="B217" s="22"/>
      <c r="C217" s="22"/>
      <c r="D217" s="22"/>
      <c r="E217" s="22"/>
      <c r="F217" s="22"/>
      <c r="G217" s="22"/>
      <c r="H217" s="1"/>
      <c r="I217" s="25"/>
      <c r="J217" s="26"/>
      <c r="K217" s="14"/>
      <c r="L217" s="11"/>
    </row>
    <row r="218" spans="2:12" x14ac:dyDescent="0.2"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11"/>
    </row>
    <row r="219" spans="2:12" x14ac:dyDescent="0.2">
      <c r="B219" s="22"/>
      <c r="C219" s="22"/>
      <c r="D219" s="22"/>
      <c r="E219" s="22"/>
      <c r="F219" s="22"/>
      <c r="G219" s="22"/>
      <c r="H219" s="1"/>
      <c r="I219" s="25"/>
      <c r="J219" s="26"/>
      <c r="K219" s="14"/>
      <c r="L219" s="11"/>
    </row>
    <row r="220" spans="2:12" x14ac:dyDescent="0.2"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11"/>
    </row>
    <row r="221" spans="2:12" ht="14.25" customHeight="1" x14ac:dyDescent="0.2">
      <c r="B221" s="24"/>
      <c r="C221" s="24"/>
      <c r="D221" s="24"/>
      <c r="E221" s="24"/>
      <c r="F221" s="24"/>
      <c r="G221" s="24"/>
      <c r="H221" s="1"/>
      <c r="I221" s="25"/>
      <c r="J221" s="26"/>
      <c r="K221" s="14"/>
      <c r="L221" s="11"/>
    </row>
    <row r="222" spans="2:12" x14ac:dyDescent="0.2"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11"/>
    </row>
    <row r="223" spans="2:12" x14ac:dyDescent="0.2">
      <c r="B223" s="22"/>
      <c r="C223" s="22"/>
      <c r="D223" s="22"/>
      <c r="E223" s="22"/>
      <c r="F223" s="22"/>
      <c r="G223" s="22"/>
      <c r="H223" s="1"/>
      <c r="I223" s="25"/>
      <c r="J223" s="26"/>
      <c r="K223" s="14"/>
      <c r="L223" s="11"/>
    </row>
    <row r="224" spans="2:12" x14ac:dyDescent="0.2"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11"/>
    </row>
    <row r="225" spans="2:12" x14ac:dyDescent="0.2">
      <c r="B225" s="22"/>
      <c r="C225" s="22"/>
      <c r="D225" s="22"/>
      <c r="E225" s="22"/>
      <c r="F225" s="22"/>
      <c r="G225" s="22"/>
      <c r="H225" s="1"/>
      <c r="I225" s="25"/>
      <c r="J225" s="26"/>
      <c r="K225" s="14"/>
      <c r="L225" s="11"/>
    </row>
    <row r="226" spans="2:12" x14ac:dyDescent="0.2"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11"/>
    </row>
    <row r="227" spans="2:12" x14ac:dyDescent="0.2">
      <c r="B227" s="22"/>
      <c r="C227" s="22"/>
      <c r="D227" s="22"/>
      <c r="E227" s="22"/>
      <c r="F227" s="22"/>
      <c r="G227" s="22"/>
      <c r="H227" s="1"/>
      <c r="I227" s="25"/>
      <c r="J227" s="26"/>
      <c r="K227" s="14"/>
      <c r="L227" s="11"/>
    </row>
    <row r="228" spans="2:12" x14ac:dyDescent="0.2"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11"/>
    </row>
    <row r="229" spans="2:12" ht="14.25" customHeight="1" x14ac:dyDescent="0.2">
      <c r="B229" s="24"/>
      <c r="C229" s="24"/>
      <c r="D229" s="24"/>
      <c r="E229" s="24"/>
      <c r="F229" s="24"/>
      <c r="G229" s="24"/>
      <c r="H229" s="1"/>
      <c r="I229" s="25"/>
      <c r="J229" s="26"/>
      <c r="K229" s="14"/>
      <c r="L229" s="11"/>
    </row>
    <row r="230" spans="2:12" x14ac:dyDescent="0.2">
      <c r="B230" s="22"/>
      <c r="C230" s="22"/>
      <c r="D230" s="22"/>
      <c r="E230" s="22"/>
      <c r="F230" s="22"/>
      <c r="G230" s="22"/>
      <c r="H230" s="22"/>
      <c r="I230" s="22"/>
      <c r="J230" s="22"/>
      <c r="K230" s="22"/>
    </row>
    <row r="231" spans="2:12" ht="14.25" customHeight="1" x14ac:dyDescent="0.2">
      <c r="B231" s="24"/>
      <c r="C231" s="24"/>
      <c r="D231" s="24"/>
      <c r="E231" s="24"/>
      <c r="F231" s="24"/>
      <c r="G231" s="24"/>
      <c r="H231" s="1"/>
      <c r="I231" s="37"/>
      <c r="J231" s="26"/>
      <c r="K231" s="14"/>
    </row>
    <row r="232" spans="2:12" x14ac:dyDescent="0.2">
      <c r="B232" s="22"/>
      <c r="C232" s="22"/>
      <c r="D232" s="22"/>
      <c r="E232" s="22"/>
      <c r="F232" s="22"/>
      <c r="G232" s="22"/>
      <c r="H232" s="22"/>
      <c r="I232" s="22"/>
      <c r="J232" s="22"/>
      <c r="K232" s="22"/>
    </row>
    <row r="233" spans="2:12" x14ac:dyDescent="0.2">
      <c r="B233" s="22"/>
      <c r="C233" s="22"/>
      <c r="D233" s="22"/>
      <c r="E233" s="22"/>
      <c r="F233" s="22"/>
      <c r="G233" s="22"/>
      <c r="H233" s="1"/>
      <c r="I233" s="21"/>
      <c r="J233" s="21"/>
      <c r="K233" s="11"/>
    </row>
    <row r="234" spans="2:12" x14ac:dyDescent="0.2">
      <c r="B234" s="22"/>
      <c r="C234" s="22"/>
      <c r="D234" s="22"/>
      <c r="E234" s="22"/>
      <c r="F234" s="22"/>
      <c r="G234" s="22"/>
      <c r="H234" s="1"/>
      <c r="I234" s="21"/>
      <c r="J234" s="21"/>
      <c r="K234" s="11"/>
    </row>
    <row r="235" spans="2:12" x14ac:dyDescent="0.2">
      <c r="B235" s="5" t="s">
        <v>24</v>
      </c>
      <c r="C235" s="5"/>
      <c r="D235" s="5"/>
      <c r="E235" s="5"/>
      <c r="F235" s="7" t="s">
        <v>25</v>
      </c>
      <c r="G235" s="5"/>
      <c r="H235" s="5"/>
      <c r="K235" s="16">
        <f>SUM(K215,K217,K219,K221,K223,K225,K227,K229,K231)</f>
        <v>0</v>
      </c>
    </row>
    <row r="236" spans="2:12" x14ac:dyDescent="0.2">
      <c r="B236" s="5"/>
      <c r="C236" s="5"/>
      <c r="D236" s="5"/>
      <c r="E236" s="5"/>
      <c r="F236" s="7" t="s">
        <v>26</v>
      </c>
      <c r="G236" s="5"/>
      <c r="H236" s="5"/>
      <c r="K236" s="16">
        <v>0</v>
      </c>
    </row>
    <row r="237" spans="2:12" x14ac:dyDescent="0.2">
      <c r="B237" s="5"/>
      <c r="C237" s="5"/>
      <c r="D237" s="5"/>
      <c r="E237" s="5"/>
      <c r="F237" s="7" t="s">
        <v>27</v>
      </c>
      <c r="G237" s="5"/>
      <c r="H237" s="5"/>
      <c r="K237" s="16">
        <f>K235+K236</f>
        <v>0</v>
      </c>
    </row>
    <row r="238" spans="2:12" x14ac:dyDescent="0.2">
      <c r="B238" s="28" t="s">
        <v>28</v>
      </c>
      <c r="C238" s="28"/>
      <c r="D238" s="28"/>
      <c r="E238" s="5"/>
      <c r="F238" s="7" t="s">
        <v>29</v>
      </c>
      <c r="G238" s="5"/>
      <c r="H238" s="13">
        <v>0.16</v>
      </c>
      <c r="K238" s="17">
        <f>K237*0.16</f>
        <v>0</v>
      </c>
    </row>
    <row r="239" spans="2:12" x14ac:dyDescent="0.2">
      <c r="B239" s="5"/>
      <c r="C239" s="5"/>
      <c r="D239" s="5"/>
      <c r="E239" s="5"/>
      <c r="F239" s="7" t="s">
        <v>30</v>
      </c>
      <c r="G239" s="5"/>
      <c r="H239" s="5"/>
      <c r="K239" s="17">
        <f>K237*1.16</f>
        <v>0</v>
      </c>
    </row>
    <row r="243" spans="1:12" ht="13.5" customHeight="1" x14ac:dyDescent="0.2">
      <c r="A243" s="35" t="s">
        <v>34</v>
      </c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</row>
    <row r="244" spans="1:12" x14ac:dyDescent="0.2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</row>
    <row r="245" spans="1:12" ht="15" customHeight="1" x14ac:dyDescent="0.2">
      <c r="A245" s="36" t="s">
        <v>31</v>
      </c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</row>
    <row r="246" spans="1:12" ht="15" customHeight="1" x14ac:dyDescent="0.2"/>
    <row r="247" spans="1:12" x14ac:dyDescent="0.2">
      <c r="C247" s="2" t="s">
        <v>32</v>
      </c>
      <c r="D247" s="2"/>
      <c r="E247" s="2"/>
      <c r="F247" s="2"/>
      <c r="G247" s="2"/>
      <c r="H247" s="2"/>
      <c r="I247" s="2"/>
      <c r="J247" s="2"/>
      <c r="K247" s="2"/>
      <c r="L247" s="2"/>
    </row>
    <row r="248" spans="1:12" x14ac:dyDescent="0.2">
      <c r="D248" s="2"/>
      <c r="E248" s="2"/>
      <c r="F248" s="2"/>
      <c r="G248" s="2"/>
      <c r="H248" s="2"/>
      <c r="J248" s="2"/>
      <c r="K248" s="2"/>
    </row>
    <row r="249" spans="1:12" x14ac:dyDescent="0.2">
      <c r="C249" s="2"/>
      <c r="I249" s="2"/>
    </row>
    <row r="251" spans="1:12" x14ac:dyDescent="0.2">
      <c r="K251" s="38"/>
    </row>
    <row r="252" spans="1:12" x14ac:dyDescent="0.2">
      <c r="K252" s="39"/>
    </row>
    <row r="255" spans="1:12" x14ac:dyDescent="0.2">
      <c r="C255" s="20" t="s">
        <v>0</v>
      </c>
      <c r="D255" s="20"/>
      <c r="E255" s="5"/>
      <c r="F255" s="6"/>
      <c r="H255" s="5" t="s">
        <v>1</v>
      </c>
      <c r="I255" s="4"/>
    </row>
    <row r="256" spans="1:12" ht="20.25" customHeight="1" x14ac:dyDescent="0.2"/>
    <row r="257" spans="2:12" ht="14.25" customHeight="1" x14ac:dyDescent="0.2">
      <c r="B257" s="5" t="s">
        <v>2</v>
      </c>
      <c r="C257" s="34" t="s">
        <v>3</v>
      </c>
      <c r="D257" s="34"/>
      <c r="E257" s="5"/>
      <c r="F257" s="5" t="s">
        <v>4</v>
      </c>
      <c r="G257" s="5"/>
      <c r="H257" s="8" t="s">
        <v>5</v>
      </c>
      <c r="J257" s="7" t="s">
        <v>6</v>
      </c>
      <c r="K257" s="19"/>
    </row>
    <row r="258" spans="2:12" x14ac:dyDescent="0.2">
      <c r="B258" s="5" t="s">
        <v>7</v>
      </c>
      <c r="C258" s="23" t="s">
        <v>8</v>
      </c>
      <c r="D258" s="23"/>
      <c r="E258" s="7" t="s">
        <v>9</v>
      </c>
      <c r="F258" s="5"/>
      <c r="G258" s="5"/>
      <c r="H258" s="5"/>
      <c r="I258" s="5"/>
      <c r="J258" s="7" t="s">
        <v>10</v>
      </c>
      <c r="K258" s="19"/>
      <c r="L258" s="5"/>
    </row>
    <row r="259" spans="2:12" x14ac:dyDescent="0.2">
      <c r="B259" s="28" t="s">
        <v>33</v>
      </c>
      <c r="C259" s="28"/>
      <c r="D259" s="6" t="s">
        <v>11</v>
      </c>
      <c r="E259" s="7" t="s">
        <v>12</v>
      </c>
      <c r="F259" s="8" t="s">
        <v>13</v>
      </c>
      <c r="G259" s="7" t="s">
        <v>14</v>
      </c>
      <c r="H259" s="9" t="s">
        <v>15</v>
      </c>
      <c r="I259" s="5"/>
      <c r="J259" s="5"/>
      <c r="K259" s="5"/>
      <c r="L259" s="5"/>
    </row>
    <row r="260" spans="2:12" ht="14.25" customHeight="1" x14ac:dyDescent="0.2">
      <c r="B260" s="5" t="s">
        <v>16</v>
      </c>
      <c r="C260" s="27" t="s">
        <v>17</v>
      </c>
      <c r="D260" s="27"/>
      <c r="E260" s="27"/>
      <c r="F260" s="27"/>
      <c r="G260" s="27"/>
      <c r="H260" s="5"/>
      <c r="I260" s="5"/>
      <c r="J260" s="5"/>
      <c r="K260" s="5"/>
      <c r="L260" s="5"/>
    </row>
    <row r="261" spans="2:12" x14ac:dyDescent="0.2">
      <c r="B261" s="5"/>
      <c r="C261" s="27" t="s">
        <v>18</v>
      </c>
      <c r="D261" s="27"/>
      <c r="E261" s="27"/>
      <c r="F261" s="27"/>
      <c r="G261" s="27"/>
      <c r="H261" s="5"/>
      <c r="I261" s="5"/>
      <c r="J261" s="5"/>
      <c r="K261" s="5"/>
      <c r="L261" s="5"/>
    </row>
    <row r="262" spans="2:12" ht="9" customHeight="1" x14ac:dyDescent="0.2">
      <c r="B262" s="5" t="s">
        <v>19</v>
      </c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 spans="2:12" x14ac:dyDescent="0.2">
      <c r="B263" s="29" t="s">
        <v>20</v>
      </c>
      <c r="C263" s="29"/>
      <c r="D263" s="29"/>
      <c r="E263" s="29"/>
      <c r="F263" s="29"/>
      <c r="G263" s="29"/>
      <c r="H263" s="10" t="s">
        <v>21</v>
      </c>
      <c r="I263" s="30" t="s">
        <v>22</v>
      </c>
      <c r="J263" s="31"/>
      <c r="K263" s="10" t="s">
        <v>23</v>
      </c>
      <c r="L263" s="12"/>
    </row>
    <row r="264" spans="2:12" ht="14.25" customHeight="1" x14ac:dyDescent="0.2">
      <c r="B264" s="32"/>
      <c r="C264" s="32"/>
      <c r="D264" s="32"/>
      <c r="E264" s="32"/>
      <c r="F264" s="32"/>
      <c r="G264" s="32"/>
      <c r="H264" s="1"/>
      <c r="I264" s="33"/>
      <c r="J264" s="33"/>
      <c r="K264" s="18"/>
      <c r="L264" s="11"/>
    </row>
    <row r="265" spans="2:12" x14ac:dyDescent="0.2"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11"/>
    </row>
    <row r="266" spans="2:12" x14ac:dyDescent="0.2">
      <c r="B266" s="22"/>
      <c r="C266" s="22"/>
      <c r="D266" s="22"/>
      <c r="E266" s="22"/>
      <c r="F266" s="22"/>
      <c r="G266" s="22"/>
      <c r="H266" s="1"/>
      <c r="I266" s="25"/>
      <c r="J266" s="26"/>
      <c r="K266" s="14"/>
      <c r="L266" s="11"/>
    </row>
    <row r="267" spans="2:12" x14ac:dyDescent="0.2"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11"/>
    </row>
    <row r="268" spans="2:12" x14ac:dyDescent="0.2">
      <c r="B268" s="22"/>
      <c r="C268" s="22"/>
      <c r="D268" s="22"/>
      <c r="E268" s="22"/>
      <c r="F268" s="22"/>
      <c r="G268" s="22"/>
      <c r="H268" s="1"/>
      <c r="I268" s="25"/>
      <c r="J268" s="26"/>
      <c r="K268" s="14"/>
      <c r="L268" s="11"/>
    </row>
    <row r="269" spans="2:12" x14ac:dyDescent="0.2"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11"/>
    </row>
    <row r="270" spans="2:12" ht="14.25" customHeight="1" x14ac:dyDescent="0.2">
      <c r="B270" s="24"/>
      <c r="C270" s="24"/>
      <c r="D270" s="24"/>
      <c r="E270" s="24"/>
      <c r="F270" s="24"/>
      <c r="G270" s="24"/>
      <c r="H270" s="1"/>
      <c r="I270" s="25"/>
      <c r="J270" s="26"/>
      <c r="K270" s="14"/>
      <c r="L270" s="11"/>
    </row>
    <row r="271" spans="2:12" x14ac:dyDescent="0.2"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11"/>
    </row>
    <row r="272" spans="2:12" x14ac:dyDescent="0.2">
      <c r="B272" s="22"/>
      <c r="C272" s="22"/>
      <c r="D272" s="22"/>
      <c r="E272" s="22"/>
      <c r="F272" s="22"/>
      <c r="G272" s="22"/>
      <c r="H272" s="1"/>
      <c r="I272" s="25"/>
      <c r="J272" s="26"/>
      <c r="K272" s="14"/>
      <c r="L272" s="11"/>
    </row>
    <row r="273" spans="2:12" x14ac:dyDescent="0.2"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11"/>
    </row>
    <row r="274" spans="2:12" x14ac:dyDescent="0.2">
      <c r="B274" s="22"/>
      <c r="C274" s="22"/>
      <c r="D274" s="22"/>
      <c r="E274" s="22"/>
      <c r="F274" s="22"/>
      <c r="G274" s="22"/>
      <c r="H274" s="1"/>
      <c r="I274" s="25"/>
      <c r="J274" s="26"/>
      <c r="K274" s="14"/>
      <c r="L274" s="11"/>
    </row>
    <row r="275" spans="2:12" x14ac:dyDescent="0.2"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11"/>
    </row>
    <row r="276" spans="2:12" x14ac:dyDescent="0.2">
      <c r="B276" s="22"/>
      <c r="C276" s="22"/>
      <c r="D276" s="22"/>
      <c r="E276" s="22"/>
      <c r="F276" s="22"/>
      <c r="G276" s="22"/>
      <c r="H276" s="1"/>
      <c r="I276" s="25"/>
      <c r="J276" s="26"/>
      <c r="K276" s="14"/>
      <c r="L276" s="11"/>
    </row>
    <row r="277" spans="2:12" x14ac:dyDescent="0.2"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11"/>
    </row>
    <row r="278" spans="2:12" ht="14.25" customHeight="1" x14ac:dyDescent="0.2">
      <c r="B278" s="24"/>
      <c r="C278" s="24"/>
      <c r="D278" s="24"/>
      <c r="E278" s="24"/>
      <c r="F278" s="24"/>
      <c r="G278" s="24"/>
      <c r="H278" s="1"/>
      <c r="I278" s="25"/>
      <c r="J278" s="26"/>
      <c r="K278" s="14"/>
      <c r="L278" s="11"/>
    </row>
    <row r="279" spans="2:12" x14ac:dyDescent="0.2">
      <c r="B279" s="22"/>
      <c r="C279" s="22"/>
      <c r="D279" s="22"/>
      <c r="E279" s="22"/>
      <c r="F279" s="22"/>
      <c r="G279" s="22"/>
      <c r="H279" s="22"/>
      <c r="I279" s="22"/>
      <c r="J279" s="22"/>
      <c r="K279" s="22"/>
    </row>
    <row r="280" spans="2:12" ht="14.25" customHeight="1" x14ac:dyDescent="0.2">
      <c r="B280" s="24"/>
      <c r="C280" s="24"/>
      <c r="D280" s="24"/>
      <c r="E280" s="24"/>
      <c r="F280" s="24"/>
      <c r="G280" s="24"/>
      <c r="H280" s="1"/>
      <c r="I280" s="37"/>
      <c r="J280" s="26"/>
      <c r="K280" s="14"/>
    </row>
    <row r="281" spans="2:12" x14ac:dyDescent="0.2">
      <c r="B281" s="22"/>
      <c r="C281" s="22"/>
      <c r="D281" s="22"/>
      <c r="E281" s="22"/>
      <c r="F281" s="22"/>
      <c r="G281" s="22"/>
      <c r="H281" s="22"/>
      <c r="I281" s="22"/>
      <c r="J281" s="22"/>
      <c r="K281" s="22"/>
    </row>
    <row r="282" spans="2:12" x14ac:dyDescent="0.2">
      <c r="B282" s="22"/>
      <c r="C282" s="22"/>
      <c r="D282" s="22"/>
      <c r="E282" s="22"/>
      <c r="F282" s="22"/>
      <c r="G282" s="22"/>
      <c r="H282" s="1"/>
      <c r="I282" s="21"/>
      <c r="J282" s="21"/>
      <c r="K282" s="11"/>
    </row>
    <row r="283" spans="2:12" x14ac:dyDescent="0.2">
      <c r="B283" s="22"/>
      <c r="C283" s="22"/>
      <c r="D283" s="22"/>
      <c r="E283" s="22"/>
      <c r="F283" s="22"/>
      <c r="G283" s="22"/>
      <c r="H283" s="1"/>
      <c r="I283" s="21"/>
      <c r="J283" s="21"/>
      <c r="K283" s="11"/>
    </row>
    <row r="284" spans="2:12" x14ac:dyDescent="0.2">
      <c r="B284" s="5" t="s">
        <v>24</v>
      </c>
      <c r="C284" s="5"/>
      <c r="D284" s="5"/>
      <c r="E284" s="5"/>
      <c r="F284" s="7" t="s">
        <v>25</v>
      </c>
      <c r="G284" s="5"/>
      <c r="H284" s="5"/>
      <c r="K284" s="16">
        <f>SUM(K264,K266,K268,K270,K272,K274,K276,K278,K280)</f>
        <v>0</v>
      </c>
    </row>
    <row r="285" spans="2:12" x14ac:dyDescent="0.2">
      <c r="B285" s="5"/>
      <c r="C285" s="5"/>
      <c r="D285" s="5"/>
      <c r="E285" s="5"/>
      <c r="F285" s="7" t="s">
        <v>26</v>
      </c>
      <c r="G285" s="5"/>
      <c r="H285" s="5"/>
      <c r="K285" s="16">
        <v>0</v>
      </c>
    </row>
    <row r="286" spans="2:12" x14ac:dyDescent="0.2">
      <c r="B286" s="5"/>
      <c r="C286" s="5"/>
      <c r="D286" s="5"/>
      <c r="E286" s="5"/>
      <c r="F286" s="7" t="s">
        <v>27</v>
      </c>
      <c r="G286" s="5"/>
      <c r="H286" s="5"/>
      <c r="K286" s="16">
        <f>K284+K285</f>
        <v>0</v>
      </c>
    </row>
    <row r="287" spans="2:12" x14ac:dyDescent="0.2">
      <c r="B287" s="28" t="s">
        <v>28</v>
      </c>
      <c r="C287" s="28"/>
      <c r="D287" s="28"/>
      <c r="E287" s="5"/>
      <c r="F287" s="7" t="s">
        <v>29</v>
      </c>
      <c r="G287" s="5"/>
      <c r="H287" s="13">
        <v>0.16</v>
      </c>
      <c r="K287" s="17">
        <f>K286*0.16</f>
        <v>0</v>
      </c>
    </row>
    <row r="288" spans="2:12" x14ac:dyDescent="0.2">
      <c r="B288" s="5"/>
      <c r="C288" s="5"/>
      <c r="D288" s="5"/>
      <c r="E288" s="5"/>
      <c r="F288" s="7" t="s">
        <v>30</v>
      </c>
      <c r="G288" s="5"/>
      <c r="H288" s="5"/>
      <c r="K288" s="17">
        <f>K286*1.16</f>
        <v>0</v>
      </c>
    </row>
    <row r="292" spans="1:12" ht="13.5" customHeight="1" x14ac:dyDescent="0.2">
      <c r="A292" s="35" t="s">
        <v>34</v>
      </c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</row>
    <row r="293" spans="1:12" x14ac:dyDescent="0.2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</row>
    <row r="294" spans="1:12" ht="15" customHeight="1" x14ac:dyDescent="0.2">
      <c r="A294" s="36" t="s">
        <v>31</v>
      </c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</row>
    <row r="295" spans="1:12" ht="15" customHeight="1" x14ac:dyDescent="0.2"/>
    <row r="296" spans="1:12" x14ac:dyDescent="0.2">
      <c r="C296" s="2" t="s">
        <v>32</v>
      </c>
      <c r="D296" s="2"/>
      <c r="E296" s="2"/>
      <c r="F296" s="2"/>
      <c r="G296" s="2"/>
      <c r="H296" s="2"/>
      <c r="I296" s="2"/>
      <c r="J296" s="2"/>
      <c r="K296" s="2"/>
      <c r="L296" s="2"/>
    </row>
    <row r="297" spans="1:12" x14ac:dyDescent="0.2">
      <c r="D297" s="2"/>
      <c r="E297" s="2"/>
      <c r="F297" s="2"/>
      <c r="G297" s="2"/>
      <c r="H297" s="2"/>
      <c r="J297" s="2"/>
      <c r="K297" s="2"/>
    </row>
    <row r="298" spans="1:12" x14ac:dyDescent="0.2">
      <c r="C298" s="2"/>
      <c r="I298" s="2"/>
    </row>
    <row r="300" spans="1:12" x14ac:dyDescent="0.2">
      <c r="K300" s="38"/>
    </row>
    <row r="301" spans="1:12" x14ac:dyDescent="0.2">
      <c r="K301" s="39"/>
    </row>
    <row r="304" spans="1:12" x14ac:dyDescent="0.2">
      <c r="C304" s="20" t="s">
        <v>0</v>
      </c>
      <c r="D304" s="20"/>
      <c r="E304" s="5"/>
      <c r="F304" s="6"/>
      <c r="H304" s="5" t="s">
        <v>1</v>
      </c>
      <c r="I304" s="4"/>
    </row>
    <row r="305" spans="2:12" ht="20.25" customHeight="1" x14ac:dyDescent="0.2"/>
    <row r="306" spans="2:12" ht="14.25" customHeight="1" x14ac:dyDescent="0.2">
      <c r="B306" s="5" t="s">
        <v>2</v>
      </c>
      <c r="C306" s="34" t="s">
        <v>3</v>
      </c>
      <c r="D306" s="34"/>
      <c r="E306" s="5"/>
      <c r="F306" s="5" t="s">
        <v>4</v>
      </c>
      <c r="G306" s="5"/>
      <c r="H306" s="8" t="s">
        <v>5</v>
      </c>
      <c r="J306" s="7" t="s">
        <v>6</v>
      </c>
      <c r="K306" s="19"/>
    </row>
    <row r="307" spans="2:12" x14ac:dyDescent="0.2">
      <c r="B307" s="5" t="s">
        <v>7</v>
      </c>
      <c r="C307" s="23" t="s">
        <v>8</v>
      </c>
      <c r="D307" s="23"/>
      <c r="E307" s="7" t="s">
        <v>9</v>
      </c>
      <c r="F307" s="5"/>
      <c r="G307" s="5"/>
      <c r="H307" s="5"/>
      <c r="I307" s="5"/>
      <c r="J307" s="7" t="s">
        <v>10</v>
      </c>
      <c r="K307" s="19"/>
      <c r="L307" s="5"/>
    </row>
    <row r="308" spans="2:12" x14ac:dyDescent="0.2">
      <c r="B308" s="28" t="s">
        <v>33</v>
      </c>
      <c r="C308" s="28"/>
      <c r="D308" s="6" t="s">
        <v>11</v>
      </c>
      <c r="E308" s="7" t="s">
        <v>12</v>
      </c>
      <c r="F308" s="8" t="s">
        <v>13</v>
      </c>
      <c r="G308" s="7" t="s">
        <v>14</v>
      </c>
      <c r="H308" s="9" t="s">
        <v>15</v>
      </c>
      <c r="I308" s="5"/>
      <c r="J308" s="5"/>
      <c r="K308" s="5"/>
      <c r="L308" s="5"/>
    </row>
    <row r="309" spans="2:12" ht="14.25" customHeight="1" x14ac:dyDescent="0.2">
      <c r="B309" s="5" t="s">
        <v>16</v>
      </c>
      <c r="C309" s="27" t="s">
        <v>17</v>
      </c>
      <c r="D309" s="27"/>
      <c r="E309" s="27"/>
      <c r="F309" s="27"/>
      <c r="G309" s="27"/>
      <c r="H309" s="5"/>
      <c r="I309" s="5"/>
      <c r="J309" s="5"/>
      <c r="K309" s="5"/>
      <c r="L309" s="5"/>
    </row>
    <row r="310" spans="2:12" x14ac:dyDescent="0.2">
      <c r="B310" s="5"/>
      <c r="C310" s="27" t="s">
        <v>18</v>
      </c>
      <c r="D310" s="27"/>
      <c r="E310" s="27"/>
      <c r="F310" s="27"/>
      <c r="G310" s="27"/>
      <c r="H310" s="5"/>
      <c r="I310" s="5"/>
      <c r="J310" s="5"/>
      <c r="K310" s="5"/>
      <c r="L310" s="5"/>
    </row>
    <row r="311" spans="2:12" ht="9" customHeight="1" x14ac:dyDescent="0.2">
      <c r="B311" s="5" t="s">
        <v>19</v>
      </c>
      <c r="C311" s="5"/>
      <c r="D311" s="5"/>
      <c r="E311" s="5"/>
      <c r="F311" s="5"/>
      <c r="G311" s="5"/>
      <c r="H311" s="5"/>
      <c r="I311" s="5"/>
      <c r="J311" s="5"/>
      <c r="K311" s="5"/>
      <c r="L311" s="5"/>
    </row>
    <row r="312" spans="2:12" x14ac:dyDescent="0.2">
      <c r="B312" s="29" t="s">
        <v>20</v>
      </c>
      <c r="C312" s="29"/>
      <c r="D312" s="29"/>
      <c r="E312" s="29"/>
      <c r="F312" s="29"/>
      <c r="G312" s="29"/>
      <c r="H312" s="10" t="s">
        <v>21</v>
      </c>
      <c r="I312" s="30" t="s">
        <v>22</v>
      </c>
      <c r="J312" s="31"/>
      <c r="K312" s="10" t="s">
        <v>23</v>
      </c>
      <c r="L312" s="12"/>
    </row>
    <row r="313" spans="2:12" ht="14.25" customHeight="1" x14ac:dyDescent="0.2">
      <c r="B313" s="32"/>
      <c r="C313" s="32"/>
      <c r="D313" s="32"/>
      <c r="E313" s="32"/>
      <c r="F313" s="32"/>
      <c r="G313" s="32"/>
      <c r="H313" s="1"/>
      <c r="I313" s="33"/>
      <c r="J313" s="33"/>
      <c r="K313" s="18"/>
      <c r="L313" s="11"/>
    </row>
    <row r="314" spans="2:12" x14ac:dyDescent="0.2"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11"/>
    </row>
    <row r="315" spans="2:12" x14ac:dyDescent="0.2">
      <c r="B315" s="22"/>
      <c r="C315" s="22"/>
      <c r="D315" s="22"/>
      <c r="E315" s="22"/>
      <c r="F315" s="22"/>
      <c r="G315" s="22"/>
      <c r="H315" s="1"/>
      <c r="I315" s="25"/>
      <c r="J315" s="26"/>
      <c r="K315" s="14"/>
      <c r="L315" s="11"/>
    </row>
    <row r="316" spans="2:12" x14ac:dyDescent="0.2"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11"/>
    </row>
    <row r="317" spans="2:12" x14ac:dyDescent="0.2">
      <c r="B317" s="22"/>
      <c r="C317" s="22"/>
      <c r="D317" s="22"/>
      <c r="E317" s="22"/>
      <c r="F317" s="22"/>
      <c r="G317" s="22"/>
      <c r="H317" s="1"/>
      <c r="I317" s="25"/>
      <c r="J317" s="26"/>
      <c r="K317" s="14"/>
      <c r="L317" s="11"/>
    </row>
    <row r="318" spans="2:12" x14ac:dyDescent="0.2"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11"/>
    </row>
    <row r="319" spans="2:12" ht="14.25" customHeight="1" x14ac:dyDescent="0.2">
      <c r="B319" s="24"/>
      <c r="C319" s="24"/>
      <c r="D319" s="24"/>
      <c r="E319" s="24"/>
      <c r="F319" s="24"/>
      <c r="G319" s="24"/>
      <c r="H319" s="1"/>
      <c r="I319" s="25"/>
      <c r="J319" s="26"/>
      <c r="K319" s="14"/>
      <c r="L319" s="11"/>
    </row>
    <row r="320" spans="2:12" x14ac:dyDescent="0.2"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11"/>
    </row>
    <row r="321" spans="2:12" x14ac:dyDescent="0.2">
      <c r="B321" s="22"/>
      <c r="C321" s="22"/>
      <c r="D321" s="22"/>
      <c r="E321" s="22"/>
      <c r="F321" s="22"/>
      <c r="G321" s="22"/>
      <c r="H321" s="1"/>
      <c r="I321" s="25"/>
      <c r="J321" s="26"/>
      <c r="K321" s="14"/>
      <c r="L321" s="11"/>
    </row>
    <row r="322" spans="2:12" x14ac:dyDescent="0.2"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11"/>
    </row>
    <row r="323" spans="2:12" x14ac:dyDescent="0.2">
      <c r="B323" s="22"/>
      <c r="C323" s="22"/>
      <c r="D323" s="22"/>
      <c r="E323" s="22"/>
      <c r="F323" s="22"/>
      <c r="G323" s="22"/>
      <c r="H323" s="1"/>
      <c r="I323" s="25"/>
      <c r="J323" s="26"/>
      <c r="K323" s="14"/>
      <c r="L323" s="11"/>
    </row>
    <row r="324" spans="2:12" x14ac:dyDescent="0.2"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11"/>
    </row>
    <row r="325" spans="2:12" x14ac:dyDescent="0.2">
      <c r="B325" s="22"/>
      <c r="C325" s="22"/>
      <c r="D325" s="22"/>
      <c r="E325" s="22"/>
      <c r="F325" s="22"/>
      <c r="G325" s="22"/>
      <c r="H325" s="1"/>
      <c r="I325" s="25"/>
      <c r="J325" s="26"/>
      <c r="K325" s="14"/>
      <c r="L325" s="11"/>
    </row>
    <row r="326" spans="2:12" x14ac:dyDescent="0.2"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11"/>
    </row>
    <row r="327" spans="2:12" ht="14.25" customHeight="1" x14ac:dyDescent="0.2">
      <c r="B327" s="24"/>
      <c r="C327" s="24"/>
      <c r="D327" s="24"/>
      <c r="E327" s="24"/>
      <c r="F327" s="24"/>
      <c r="G327" s="24"/>
      <c r="H327" s="1"/>
      <c r="I327" s="25"/>
      <c r="J327" s="26"/>
      <c r="K327" s="14"/>
      <c r="L327" s="11"/>
    </row>
    <row r="328" spans="2:12" x14ac:dyDescent="0.2">
      <c r="B328" s="22"/>
      <c r="C328" s="22"/>
      <c r="D328" s="22"/>
      <c r="E328" s="22"/>
      <c r="F328" s="22"/>
      <c r="G328" s="22"/>
      <c r="H328" s="22"/>
      <c r="I328" s="22"/>
      <c r="J328" s="22"/>
      <c r="K328" s="22"/>
    </row>
    <row r="329" spans="2:12" ht="14.25" customHeight="1" x14ac:dyDescent="0.2">
      <c r="B329" s="24"/>
      <c r="C329" s="24"/>
      <c r="D329" s="24"/>
      <c r="E329" s="24"/>
      <c r="F329" s="24"/>
      <c r="G329" s="24"/>
      <c r="H329" s="1"/>
      <c r="I329" s="37"/>
      <c r="J329" s="26"/>
      <c r="K329" s="14"/>
    </row>
    <row r="330" spans="2:12" x14ac:dyDescent="0.2">
      <c r="B330" s="22"/>
      <c r="C330" s="22"/>
      <c r="D330" s="22"/>
      <c r="E330" s="22"/>
      <c r="F330" s="22"/>
      <c r="G330" s="22"/>
      <c r="H330" s="22"/>
      <c r="I330" s="22"/>
      <c r="J330" s="22"/>
      <c r="K330" s="22"/>
    </row>
    <row r="331" spans="2:12" x14ac:dyDescent="0.2">
      <c r="B331" s="22"/>
      <c r="C331" s="22"/>
      <c r="D331" s="22"/>
      <c r="E331" s="22"/>
      <c r="F331" s="22"/>
      <c r="G331" s="22"/>
      <c r="H331" s="1"/>
      <c r="I331" s="21"/>
      <c r="J331" s="21"/>
      <c r="K331" s="11"/>
    </row>
    <row r="332" spans="2:12" x14ac:dyDescent="0.2">
      <c r="B332" s="22"/>
      <c r="C332" s="22"/>
      <c r="D332" s="22"/>
      <c r="E332" s="22"/>
      <c r="F332" s="22"/>
      <c r="G332" s="22"/>
      <c r="H332" s="1"/>
      <c r="I332" s="21"/>
      <c r="J332" s="21"/>
      <c r="K332" s="11"/>
    </row>
    <row r="333" spans="2:12" x14ac:dyDescent="0.2">
      <c r="B333" s="5" t="s">
        <v>24</v>
      </c>
      <c r="C333" s="5"/>
      <c r="D333" s="5"/>
      <c r="E333" s="5"/>
      <c r="F333" s="7" t="s">
        <v>25</v>
      </c>
      <c r="G333" s="5"/>
      <c r="H333" s="5"/>
      <c r="K333" s="16">
        <f>SUM(K313,K315,K317,K319,K321,K323,K325,K327,K329)</f>
        <v>0</v>
      </c>
    </row>
    <row r="334" spans="2:12" x14ac:dyDescent="0.2">
      <c r="B334" s="5"/>
      <c r="C334" s="5"/>
      <c r="D334" s="5"/>
      <c r="E334" s="5"/>
      <c r="F334" s="7" t="s">
        <v>26</v>
      </c>
      <c r="G334" s="5"/>
      <c r="H334" s="5"/>
      <c r="K334" s="16">
        <v>0</v>
      </c>
    </row>
    <row r="335" spans="2:12" x14ac:dyDescent="0.2">
      <c r="B335" s="5"/>
      <c r="C335" s="5"/>
      <c r="D335" s="5"/>
      <c r="E335" s="5"/>
      <c r="F335" s="7" t="s">
        <v>27</v>
      </c>
      <c r="G335" s="5"/>
      <c r="H335" s="5"/>
      <c r="K335" s="16">
        <f>K333+K334</f>
        <v>0</v>
      </c>
    </row>
    <row r="336" spans="2:12" x14ac:dyDescent="0.2">
      <c r="B336" s="28" t="s">
        <v>28</v>
      </c>
      <c r="C336" s="28"/>
      <c r="D336" s="28"/>
      <c r="E336" s="5"/>
      <c r="F336" s="7" t="s">
        <v>29</v>
      </c>
      <c r="G336" s="5"/>
      <c r="H336" s="13">
        <v>0.16</v>
      </c>
      <c r="K336" s="17">
        <f>K335*0.16</f>
        <v>0</v>
      </c>
    </row>
    <row r="337" spans="1:15" x14ac:dyDescent="0.2">
      <c r="B337" s="5"/>
      <c r="C337" s="5"/>
      <c r="D337" s="5"/>
      <c r="E337" s="5"/>
      <c r="F337" s="7" t="s">
        <v>30</v>
      </c>
      <c r="G337" s="5"/>
      <c r="H337" s="5"/>
      <c r="K337" s="17">
        <f>K335*1.16</f>
        <v>0</v>
      </c>
    </row>
    <row r="341" spans="1:15" ht="13.5" customHeight="1" x14ac:dyDescent="0.2">
      <c r="A341" s="35" t="s">
        <v>34</v>
      </c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</row>
    <row r="342" spans="1:15" x14ac:dyDescent="0.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</row>
    <row r="343" spans="1:15" ht="15" customHeight="1" x14ac:dyDescent="0.2">
      <c r="A343" s="36" t="s">
        <v>31</v>
      </c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</row>
    <row r="344" spans="1:15" ht="15" customHeight="1" x14ac:dyDescent="0.2"/>
    <row r="345" spans="1:15" x14ac:dyDescent="0.2">
      <c r="C345" s="2" t="s">
        <v>32</v>
      </c>
      <c r="D345" s="2"/>
      <c r="E345" s="2"/>
      <c r="F345" s="2"/>
      <c r="G345" s="2"/>
      <c r="H345" s="2"/>
      <c r="I345" s="2"/>
      <c r="J345" s="2"/>
      <c r="K345" s="2"/>
      <c r="L345" s="2"/>
    </row>
    <row r="346" spans="1:15" x14ac:dyDescent="0.2">
      <c r="D346" s="2"/>
      <c r="E346" s="2"/>
      <c r="F346" s="2"/>
      <c r="G346" s="2"/>
      <c r="H346" s="2"/>
      <c r="J346" s="2"/>
      <c r="K346" s="2"/>
    </row>
    <row r="347" spans="1:15" x14ac:dyDescent="0.2">
      <c r="C347" s="2"/>
      <c r="I347" s="2"/>
      <c r="O347" s="3" t="s">
        <v>35</v>
      </c>
    </row>
    <row r="349" spans="1:15" x14ac:dyDescent="0.2">
      <c r="K349" s="38"/>
    </row>
    <row r="350" spans="1:15" x14ac:dyDescent="0.2">
      <c r="K350" s="39"/>
    </row>
    <row r="353" spans="2:12" x14ac:dyDescent="0.2">
      <c r="C353" s="20" t="s">
        <v>0</v>
      </c>
      <c r="D353" s="20"/>
      <c r="E353" s="5"/>
      <c r="F353" s="6"/>
      <c r="H353" s="5" t="s">
        <v>1</v>
      </c>
      <c r="I353" s="4"/>
    </row>
    <row r="354" spans="2:12" ht="20.25" customHeight="1" x14ac:dyDescent="0.2"/>
    <row r="355" spans="2:12" ht="14.25" customHeight="1" x14ac:dyDescent="0.2">
      <c r="B355" s="5" t="s">
        <v>2</v>
      </c>
      <c r="C355" s="34" t="s">
        <v>3</v>
      </c>
      <c r="D355" s="34"/>
      <c r="E355" s="5"/>
      <c r="F355" s="5" t="s">
        <v>4</v>
      </c>
      <c r="G355" s="5"/>
      <c r="H355" s="8" t="s">
        <v>5</v>
      </c>
      <c r="J355" s="7" t="s">
        <v>6</v>
      </c>
      <c r="K355" s="19"/>
    </row>
    <row r="356" spans="2:12" x14ac:dyDescent="0.2">
      <c r="B356" s="5" t="s">
        <v>7</v>
      </c>
      <c r="C356" s="23" t="s">
        <v>8</v>
      </c>
      <c r="D356" s="23"/>
      <c r="E356" s="7" t="s">
        <v>9</v>
      </c>
      <c r="F356" s="5"/>
      <c r="G356" s="5"/>
      <c r="H356" s="5"/>
      <c r="I356" s="5"/>
      <c r="J356" s="7" t="s">
        <v>10</v>
      </c>
      <c r="K356" s="19"/>
      <c r="L356" s="5"/>
    </row>
    <row r="357" spans="2:12" x14ac:dyDescent="0.2">
      <c r="B357" s="28" t="s">
        <v>33</v>
      </c>
      <c r="C357" s="28"/>
      <c r="D357" s="6" t="s">
        <v>11</v>
      </c>
      <c r="E357" s="7" t="s">
        <v>12</v>
      </c>
      <c r="F357" s="8" t="s">
        <v>13</v>
      </c>
      <c r="G357" s="7" t="s">
        <v>14</v>
      </c>
      <c r="H357" s="9" t="s">
        <v>15</v>
      </c>
      <c r="I357" s="5"/>
      <c r="J357" s="5"/>
      <c r="K357" s="5"/>
      <c r="L357" s="5"/>
    </row>
    <row r="358" spans="2:12" ht="14.25" customHeight="1" x14ac:dyDescent="0.2">
      <c r="B358" s="5" t="s">
        <v>16</v>
      </c>
      <c r="C358" s="27" t="s">
        <v>17</v>
      </c>
      <c r="D358" s="27"/>
      <c r="E358" s="27"/>
      <c r="F358" s="27"/>
      <c r="G358" s="27"/>
      <c r="H358" s="5"/>
      <c r="I358" s="5"/>
      <c r="J358" s="5"/>
      <c r="K358" s="5"/>
      <c r="L358" s="5"/>
    </row>
    <row r="359" spans="2:12" x14ac:dyDescent="0.2">
      <c r="B359" s="5"/>
      <c r="C359" s="27" t="s">
        <v>18</v>
      </c>
      <c r="D359" s="27"/>
      <c r="E359" s="27"/>
      <c r="F359" s="27"/>
      <c r="G359" s="27"/>
      <c r="H359" s="5"/>
      <c r="I359" s="5"/>
      <c r="J359" s="5"/>
      <c r="K359" s="5"/>
      <c r="L359" s="5"/>
    </row>
    <row r="360" spans="2:12" ht="9" customHeight="1" x14ac:dyDescent="0.2">
      <c r="B360" s="5" t="s">
        <v>19</v>
      </c>
      <c r="C360" s="5"/>
      <c r="D360" s="5"/>
      <c r="E360" s="5"/>
      <c r="F360" s="5"/>
      <c r="G360" s="5"/>
      <c r="H360" s="5"/>
      <c r="I360" s="5"/>
      <c r="J360" s="5"/>
      <c r="K360" s="5"/>
      <c r="L360" s="5"/>
    </row>
    <row r="361" spans="2:12" x14ac:dyDescent="0.2">
      <c r="B361" s="29" t="s">
        <v>20</v>
      </c>
      <c r="C361" s="29"/>
      <c r="D361" s="29"/>
      <c r="E361" s="29"/>
      <c r="F361" s="29"/>
      <c r="G361" s="29"/>
      <c r="H361" s="10" t="s">
        <v>21</v>
      </c>
      <c r="I361" s="30" t="s">
        <v>22</v>
      </c>
      <c r="J361" s="31"/>
      <c r="K361" s="10" t="s">
        <v>23</v>
      </c>
      <c r="L361" s="12"/>
    </row>
    <row r="362" spans="2:12" ht="14.25" customHeight="1" x14ac:dyDescent="0.2">
      <c r="B362" s="32"/>
      <c r="C362" s="32"/>
      <c r="D362" s="32"/>
      <c r="E362" s="32"/>
      <c r="F362" s="32"/>
      <c r="G362" s="32"/>
      <c r="H362" s="1"/>
      <c r="I362" s="33"/>
      <c r="J362" s="33"/>
      <c r="K362" s="18"/>
      <c r="L362" s="11"/>
    </row>
    <row r="363" spans="2:12" x14ac:dyDescent="0.2"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11"/>
    </row>
    <row r="364" spans="2:12" x14ac:dyDescent="0.2">
      <c r="B364" s="22"/>
      <c r="C364" s="22"/>
      <c r="D364" s="22"/>
      <c r="E364" s="22"/>
      <c r="F364" s="22"/>
      <c r="G364" s="22"/>
      <c r="H364" s="1"/>
      <c r="I364" s="25"/>
      <c r="J364" s="26"/>
      <c r="K364" s="14"/>
      <c r="L364" s="11"/>
    </row>
    <row r="365" spans="2:12" x14ac:dyDescent="0.2"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11"/>
    </row>
    <row r="366" spans="2:12" x14ac:dyDescent="0.2">
      <c r="B366" s="22"/>
      <c r="C366" s="22"/>
      <c r="D366" s="22"/>
      <c r="E366" s="22"/>
      <c r="F366" s="22"/>
      <c r="G366" s="22"/>
      <c r="H366" s="1"/>
      <c r="I366" s="25"/>
      <c r="J366" s="26"/>
      <c r="K366" s="14"/>
      <c r="L366" s="11"/>
    </row>
    <row r="367" spans="2:12" x14ac:dyDescent="0.2"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11"/>
    </row>
    <row r="368" spans="2:12" ht="14.25" customHeight="1" x14ac:dyDescent="0.2">
      <c r="B368" s="24"/>
      <c r="C368" s="24"/>
      <c r="D368" s="24"/>
      <c r="E368" s="24"/>
      <c r="F368" s="24"/>
      <c r="G368" s="24"/>
      <c r="H368" s="1"/>
      <c r="I368" s="25"/>
      <c r="J368" s="26"/>
      <c r="K368" s="14"/>
      <c r="L368" s="11"/>
    </row>
    <row r="369" spans="2:12" x14ac:dyDescent="0.2"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11"/>
    </row>
    <row r="370" spans="2:12" x14ac:dyDescent="0.2">
      <c r="B370" s="22"/>
      <c r="C370" s="22"/>
      <c r="D370" s="22"/>
      <c r="E370" s="22"/>
      <c r="F370" s="22"/>
      <c r="G370" s="22"/>
      <c r="H370" s="1"/>
      <c r="I370" s="25"/>
      <c r="J370" s="26"/>
      <c r="K370" s="14"/>
      <c r="L370" s="11"/>
    </row>
    <row r="371" spans="2:12" x14ac:dyDescent="0.2"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11"/>
    </row>
    <row r="372" spans="2:12" x14ac:dyDescent="0.2">
      <c r="B372" s="22"/>
      <c r="C372" s="22"/>
      <c r="D372" s="22"/>
      <c r="E372" s="22"/>
      <c r="F372" s="22"/>
      <c r="G372" s="22"/>
      <c r="H372" s="1"/>
      <c r="I372" s="25"/>
      <c r="J372" s="26"/>
      <c r="K372" s="14"/>
      <c r="L372" s="11"/>
    </row>
    <row r="373" spans="2:12" x14ac:dyDescent="0.2"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11"/>
    </row>
    <row r="374" spans="2:12" x14ac:dyDescent="0.2">
      <c r="B374" s="22"/>
      <c r="C374" s="22"/>
      <c r="D374" s="22"/>
      <c r="E374" s="22"/>
      <c r="F374" s="22"/>
      <c r="G374" s="22"/>
      <c r="H374" s="1"/>
      <c r="I374" s="25"/>
      <c r="J374" s="26"/>
      <c r="K374" s="14"/>
      <c r="L374" s="11"/>
    </row>
    <row r="375" spans="2:12" x14ac:dyDescent="0.2"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11"/>
    </row>
    <row r="376" spans="2:12" ht="14.25" customHeight="1" x14ac:dyDescent="0.2">
      <c r="B376" s="24"/>
      <c r="C376" s="24"/>
      <c r="D376" s="24"/>
      <c r="E376" s="24"/>
      <c r="F376" s="24"/>
      <c r="G376" s="24"/>
      <c r="H376" s="1"/>
      <c r="I376" s="25"/>
      <c r="J376" s="26"/>
      <c r="K376" s="14"/>
      <c r="L376" s="11"/>
    </row>
    <row r="377" spans="2:12" x14ac:dyDescent="0.2">
      <c r="B377" s="22"/>
      <c r="C377" s="22"/>
      <c r="D377" s="22"/>
      <c r="E377" s="22"/>
      <c r="F377" s="22"/>
      <c r="G377" s="22"/>
      <c r="H377" s="22"/>
      <c r="I377" s="22"/>
      <c r="J377" s="22"/>
      <c r="K377" s="22"/>
    </row>
    <row r="378" spans="2:12" ht="14.25" customHeight="1" x14ac:dyDescent="0.2">
      <c r="B378" s="24"/>
      <c r="C378" s="24"/>
      <c r="D378" s="24"/>
      <c r="E378" s="24"/>
      <c r="F378" s="24"/>
      <c r="G378" s="24"/>
      <c r="H378" s="1"/>
      <c r="I378" s="37"/>
      <c r="J378" s="26"/>
      <c r="K378" s="14"/>
    </row>
    <row r="379" spans="2:12" x14ac:dyDescent="0.2">
      <c r="B379" s="22"/>
      <c r="C379" s="22"/>
      <c r="D379" s="22"/>
      <c r="E379" s="22"/>
      <c r="F379" s="22"/>
      <c r="G379" s="22"/>
      <c r="H379" s="22"/>
      <c r="I379" s="22"/>
      <c r="J379" s="22"/>
      <c r="K379" s="22"/>
    </row>
    <row r="380" spans="2:12" x14ac:dyDescent="0.2">
      <c r="B380" s="22"/>
      <c r="C380" s="22"/>
      <c r="D380" s="22"/>
      <c r="E380" s="22"/>
      <c r="F380" s="22"/>
      <c r="G380" s="22"/>
      <c r="H380" s="1"/>
      <c r="I380" s="21"/>
      <c r="J380" s="21"/>
      <c r="K380" s="11"/>
    </row>
    <row r="381" spans="2:12" x14ac:dyDescent="0.2">
      <c r="B381" s="22"/>
      <c r="C381" s="22"/>
      <c r="D381" s="22"/>
      <c r="E381" s="22"/>
      <c r="F381" s="22"/>
      <c r="G381" s="22"/>
      <c r="H381" s="1"/>
      <c r="I381" s="21"/>
      <c r="J381" s="21"/>
      <c r="K381" s="11"/>
    </row>
    <row r="382" spans="2:12" x14ac:dyDescent="0.2">
      <c r="B382" s="5" t="s">
        <v>24</v>
      </c>
      <c r="C382" s="5"/>
      <c r="D382" s="5"/>
      <c r="E382" s="5"/>
      <c r="F382" s="7" t="s">
        <v>25</v>
      </c>
      <c r="G382" s="5"/>
      <c r="H382" s="5"/>
      <c r="K382" s="16">
        <f>SUM(K362,K364,K366,K368,K370,K372,K374,K376,K378)</f>
        <v>0</v>
      </c>
    </row>
    <row r="383" spans="2:12" x14ac:dyDescent="0.2">
      <c r="B383" s="5"/>
      <c r="C383" s="5"/>
      <c r="D383" s="5"/>
      <c r="E383" s="5"/>
      <c r="F383" s="7" t="s">
        <v>26</v>
      </c>
      <c r="G383" s="5"/>
      <c r="H383" s="5"/>
      <c r="K383" s="16">
        <v>0</v>
      </c>
    </row>
    <row r="384" spans="2:12" x14ac:dyDescent="0.2">
      <c r="B384" s="5"/>
      <c r="C384" s="5"/>
      <c r="D384" s="5"/>
      <c r="E384" s="5"/>
      <c r="F384" s="7" t="s">
        <v>27</v>
      </c>
      <c r="G384" s="5"/>
      <c r="H384" s="5"/>
      <c r="K384" s="16">
        <f>K382+K383</f>
        <v>0</v>
      </c>
    </row>
    <row r="385" spans="1:12" x14ac:dyDescent="0.2">
      <c r="B385" s="28" t="s">
        <v>28</v>
      </c>
      <c r="C385" s="28"/>
      <c r="D385" s="28"/>
      <c r="E385" s="5"/>
      <c r="F385" s="7" t="s">
        <v>29</v>
      </c>
      <c r="G385" s="5"/>
      <c r="H385" s="13">
        <v>0.16</v>
      </c>
      <c r="K385" s="17">
        <f>K384*0.16</f>
        <v>0</v>
      </c>
    </row>
    <row r="386" spans="1:12" x14ac:dyDescent="0.2">
      <c r="B386" s="5"/>
      <c r="C386" s="5"/>
      <c r="D386" s="5"/>
      <c r="E386" s="5"/>
      <c r="F386" s="7" t="s">
        <v>30</v>
      </c>
      <c r="G386" s="5"/>
      <c r="H386" s="5"/>
      <c r="K386" s="17">
        <f>K384*1.16</f>
        <v>0</v>
      </c>
    </row>
    <row r="390" spans="1:12" ht="13.5" customHeight="1" x14ac:dyDescent="0.2">
      <c r="A390" s="35" t="s">
        <v>34</v>
      </c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</row>
    <row r="391" spans="1:12" x14ac:dyDescent="0.2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</row>
    <row r="392" spans="1:12" ht="15" customHeight="1" x14ac:dyDescent="0.2">
      <c r="A392" s="36" t="s">
        <v>31</v>
      </c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</row>
    <row r="393" spans="1:12" ht="15" customHeight="1" x14ac:dyDescent="0.2"/>
    <row r="394" spans="1:12" x14ac:dyDescent="0.2">
      <c r="C394" s="2" t="s">
        <v>32</v>
      </c>
      <c r="D394" s="2"/>
      <c r="E394" s="2"/>
      <c r="F394" s="2"/>
      <c r="G394" s="2"/>
      <c r="H394" s="2"/>
      <c r="I394" s="2"/>
      <c r="J394" s="2"/>
      <c r="K394" s="2"/>
      <c r="L394" s="2"/>
    </row>
    <row r="395" spans="1:12" x14ac:dyDescent="0.2">
      <c r="D395" s="2"/>
      <c r="E395" s="2"/>
      <c r="F395" s="2"/>
      <c r="G395" s="2"/>
      <c r="H395" s="2"/>
      <c r="J395" s="2"/>
      <c r="K395" s="2"/>
    </row>
    <row r="396" spans="1:12" x14ac:dyDescent="0.2">
      <c r="C396" s="2"/>
      <c r="I396" s="2"/>
    </row>
    <row r="398" spans="1:12" x14ac:dyDescent="0.2">
      <c r="K398" s="38"/>
    </row>
    <row r="399" spans="1:12" x14ac:dyDescent="0.2">
      <c r="K399" s="39"/>
    </row>
    <row r="402" spans="2:12" x14ac:dyDescent="0.2">
      <c r="C402" s="20" t="s">
        <v>0</v>
      </c>
      <c r="D402" s="20"/>
      <c r="E402" s="5"/>
      <c r="F402" s="6"/>
      <c r="H402" s="5" t="s">
        <v>1</v>
      </c>
      <c r="I402" s="4"/>
    </row>
    <row r="403" spans="2:12" ht="20.25" customHeight="1" x14ac:dyDescent="0.2"/>
    <row r="404" spans="2:12" ht="14.25" customHeight="1" x14ac:dyDescent="0.2">
      <c r="B404" s="5" t="s">
        <v>2</v>
      </c>
      <c r="C404" s="34" t="s">
        <v>3</v>
      </c>
      <c r="D404" s="34"/>
      <c r="E404" s="5"/>
      <c r="F404" s="5" t="s">
        <v>4</v>
      </c>
      <c r="G404" s="5"/>
      <c r="H404" s="8" t="s">
        <v>5</v>
      </c>
      <c r="J404" s="7" t="s">
        <v>6</v>
      </c>
      <c r="K404" s="19"/>
    </row>
    <row r="405" spans="2:12" x14ac:dyDescent="0.2">
      <c r="B405" s="5" t="s">
        <v>7</v>
      </c>
      <c r="C405" s="23" t="s">
        <v>8</v>
      </c>
      <c r="D405" s="23"/>
      <c r="E405" s="7" t="s">
        <v>9</v>
      </c>
      <c r="F405" s="5"/>
      <c r="G405" s="5"/>
      <c r="H405" s="5"/>
      <c r="I405" s="5"/>
      <c r="J405" s="7" t="s">
        <v>10</v>
      </c>
      <c r="K405" s="19"/>
      <c r="L405" s="5"/>
    </row>
    <row r="406" spans="2:12" x14ac:dyDescent="0.2">
      <c r="B406" s="28" t="s">
        <v>33</v>
      </c>
      <c r="C406" s="28"/>
      <c r="D406" s="6" t="s">
        <v>11</v>
      </c>
      <c r="E406" s="7" t="s">
        <v>12</v>
      </c>
      <c r="F406" s="8" t="s">
        <v>13</v>
      </c>
      <c r="G406" s="7" t="s">
        <v>14</v>
      </c>
      <c r="H406" s="9" t="s">
        <v>15</v>
      </c>
      <c r="I406" s="5"/>
      <c r="J406" s="5"/>
      <c r="K406" s="5"/>
      <c r="L406" s="5"/>
    </row>
    <row r="407" spans="2:12" ht="14.25" customHeight="1" x14ac:dyDescent="0.2">
      <c r="B407" s="5" t="s">
        <v>16</v>
      </c>
      <c r="C407" s="27" t="s">
        <v>17</v>
      </c>
      <c r="D407" s="27"/>
      <c r="E407" s="27"/>
      <c r="F407" s="27"/>
      <c r="G407" s="27"/>
      <c r="H407" s="5"/>
      <c r="I407" s="5"/>
      <c r="J407" s="5"/>
      <c r="K407" s="5"/>
      <c r="L407" s="5"/>
    </row>
    <row r="408" spans="2:12" x14ac:dyDescent="0.2">
      <c r="B408" s="5"/>
      <c r="C408" s="27" t="s">
        <v>18</v>
      </c>
      <c r="D408" s="27"/>
      <c r="E408" s="27"/>
      <c r="F408" s="27"/>
      <c r="G408" s="27"/>
      <c r="H408" s="5"/>
      <c r="I408" s="5"/>
      <c r="J408" s="5"/>
      <c r="K408" s="5"/>
      <c r="L408" s="5"/>
    </row>
    <row r="409" spans="2:12" ht="9" customHeight="1" x14ac:dyDescent="0.2">
      <c r="B409" s="5" t="s">
        <v>19</v>
      </c>
      <c r="C409" s="5"/>
      <c r="D409" s="5"/>
      <c r="E409" s="5"/>
      <c r="F409" s="5"/>
      <c r="G409" s="5"/>
      <c r="H409" s="5"/>
      <c r="I409" s="5"/>
      <c r="J409" s="5"/>
      <c r="K409" s="5"/>
      <c r="L409" s="5"/>
    </row>
    <row r="410" spans="2:12" x14ac:dyDescent="0.2">
      <c r="B410" s="29" t="s">
        <v>20</v>
      </c>
      <c r="C410" s="29"/>
      <c r="D410" s="29"/>
      <c r="E410" s="29"/>
      <c r="F410" s="29"/>
      <c r="G410" s="29"/>
      <c r="H410" s="10" t="s">
        <v>21</v>
      </c>
      <c r="I410" s="30" t="s">
        <v>22</v>
      </c>
      <c r="J410" s="31"/>
      <c r="K410" s="10" t="s">
        <v>23</v>
      </c>
      <c r="L410" s="12"/>
    </row>
    <row r="411" spans="2:12" ht="14.25" customHeight="1" x14ac:dyDescent="0.2">
      <c r="B411" s="32"/>
      <c r="C411" s="32"/>
      <c r="D411" s="32"/>
      <c r="E411" s="32"/>
      <c r="F411" s="32"/>
      <c r="G411" s="32"/>
      <c r="H411" s="1"/>
      <c r="I411" s="33"/>
      <c r="J411" s="33"/>
      <c r="K411" s="18"/>
      <c r="L411" s="11"/>
    </row>
    <row r="412" spans="2:12" x14ac:dyDescent="0.2"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11"/>
    </row>
    <row r="413" spans="2:12" x14ac:dyDescent="0.2">
      <c r="B413" s="22"/>
      <c r="C413" s="22"/>
      <c r="D413" s="22"/>
      <c r="E413" s="22"/>
      <c r="F413" s="22"/>
      <c r="G413" s="22"/>
      <c r="H413" s="1"/>
      <c r="I413" s="25"/>
      <c r="J413" s="26"/>
      <c r="K413" s="14"/>
      <c r="L413" s="11"/>
    </row>
    <row r="414" spans="2:12" x14ac:dyDescent="0.2"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11"/>
    </row>
    <row r="415" spans="2:12" x14ac:dyDescent="0.2">
      <c r="B415" s="22"/>
      <c r="C415" s="22"/>
      <c r="D415" s="22"/>
      <c r="E415" s="22"/>
      <c r="F415" s="22"/>
      <c r="G415" s="22"/>
      <c r="H415" s="1"/>
      <c r="I415" s="25"/>
      <c r="J415" s="26"/>
      <c r="K415" s="14"/>
      <c r="L415" s="11"/>
    </row>
    <row r="416" spans="2:12" x14ac:dyDescent="0.2"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11"/>
    </row>
    <row r="417" spans="2:12" ht="14.25" customHeight="1" x14ac:dyDescent="0.2">
      <c r="B417" s="24"/>
      <c r="C417" s="24"/>
      <c r="D417" s="24"/>
      <c r="E417" s="24"/>
      <c r="F417" s="24"/>
      <c r="G417" s="24"/>
      <c r="H417" s="1"/>
      <c r="I417" s="25"/>
      <c r="J417" s="26"/>
      <c r="K417" s="14"/>
      <c r="L417" s="11"/>
    </row>
    <row r="418" spans="2:12" x14ac:dyDescent="0.2"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11"/>
    </row>
    <row r="419" spans="2:12" x14ac:dyDescent="0.2">
      <c r="B419" s="22"/>
      <c r="C419" s="22"/>
      <c r="D419" s="22"/>
      <c r="E419" s="22"/>
      <c r="F419" s="22"/>
      <c r="G419" s="22"/>
      <c r="H419" s="1"/>
      <c r="I419" s="25"/>
      <c r="J419" s="26"/>
      <c r="K419" s="14"/>
      <c r="L419" s="11"/>
    </row>
    <row r="420" spans="2:12" x14ac:dyDescent="0.2"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11"/>
    </row>
    <row r="421" spans="2:12" x14ac:dyDescent="0.2">
      <c r="B421" s="22"/>
      <c r="C421" s="22"/>
      <c r="D421" s="22"/>
      <c r="E421" s="22"/>
      <c r="F421" s="22"/>
      <c r="G421" s="22"/>
      <c r="H421" s="1"/>
      <c r="I421" s="25"/>
      <c r="J421" s="26"/>
      <c r="K421" s="14"/>
      <c r="L421" s="11"/>
    </row>
    <row r="422" spans="2:12" x14ac:dyDescent="0.2"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11"/>
    </row>
    <row r="423" spans="2:12" x14ac:dyDescent="0.2">
      <c r="B423" s="22"/>
      <c r="C423" s="22"/>
      <c r="D423" s="22"/>
      <c r="E423" s="22"/>
      <c r="F423" s="22"/>
      <c r="G423" s="22"/>
      <c r="H423" s="1"/>
      <c r="I423" s="25"/>
      <c r="J423" s="26"/>
      <c r="K423" s="14"/>
      <c r="L423" s="11"/>
    </row>
    <row r="424" spans="2:12" x14ac:dyDescent="0.2"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11"/>
    </row>
    <row r="425" spans="2:12" ht="14.25" customHeight="1" x14ac:dyDescent="0.2">
      <c r="B425" s="24"/>
      <c r="C425" s="24"/>
      <c r="D425" s="24"/>
      <c r="E425" s="24"/>
      <c r="F425" s="24"/>
      <c r="G425" s="24"/>
      <c r="H425" s="1"/>
      <c r="I425" s="25"/>
      <c r="J425" s="26"/>
      <c r="K425" s="14"/>
      <c r="L425" s="11"/>
    </row>
    <row r="426" spans="2:12" x14ac:dyDescent="0.2">
      <c r="B426" s="22"/>
      <c r="C426" s="22"/>
      <c r="D426" s="22"/>
      <c r="E426" s="22"/>
      <c r="F426" s="22"/>
      <c r="G426" s="22"/>
      <c r="H426" s="22"/>
      <c r="I426" s="22"/>
      <c r="J426" s="22"/>
      <c r="K426" s="22"/>
    </row>
    <row r="427" spans="2:12" ht="14.25" customHeight="1" x14ac:dyDescent="0.2">
      <c r="B427" s="24"/>
      <c r="C427" s="24"/>
      <c r="D427" s="24"/>
      <c r="E427" s="24"/>
      <c r="F427" s="24"/>
      <c r="G427" s="24"/>
      <c r="H427" s="1"/>
      <c r="I427" s="37"/>
      <c r="J427" s="26"/>
      <c r="K427" s="14"/>
    </row>
    <row r="428" spans="2:12" x14ac:dyDescent="0.2">
      <c r="B428" s="22"/>
      <c r="C428" s="22"/>
      <c r="D428" s="22"/>
      <c r="E428" s="22"/>
      <c r="F428" s="22"/>
      <c r="G428" s="22"/>
      <c r="H428" s="22"/>
      <c r="I428" s="22"/>
      <c r="J428" s="22"/>
      <c r="K428" s="22"/>
    </row>
    <row r="429" spans="2:12" x14ac:dyDescent="0.2">
      <c r="B429" s="22"/>
      <c r="C429" s="22"/>
      <c r="D429" s="22"/>
      <c r="E429" s="22"/>
      <c r="F429" s="22"/>
      <c r="G429" s="22"/>
      <c r="H429" s="1"/>
      <c r="I429" s="21"/>
      <c r="J429" s="21"/>
      <c r="K429" s="11"/>
    </row>
    <row r="430" spans="2:12" x14ac:dyDescent="0.2">
      <c r="B430" s="22"/>
      <c r="C430" s="22"/>
      <c r="D430" s="22"/>
      <c r="E430" s="22"/>
      <c r="F430" s="22"/>
      <c r="G430" s="22"/>
      <c r="H430" s="1"/>
      <c r="I430" s="21"/>
      <c r="J430" s="21"/>
      <c r="K430" s="11"/>
    </row>
    <row r="431" spans="2:12" x14ac:dyDescent="0.2">
      <c r="B431" s="5" t="s">
        <v>24</v>
      </c>
      <c r="C431" s="5"/>
      <c r="D431" s="5"/>
      <c r="E431" s="5"/>
      <c r="F431" s="7" t="s">
        <v>25</v>
      </c>
      <c r="G431" s="5"/>
      <c r="H431" s="5"/>
      <c r="K431" s="16">
        <f>SUM(K411,K413,K415,K417,K419,K421,K423,K425,K427)</f>
        <v>0</v>
      </c>
    </row>
    <row r="432" spans="2:12" x14ac:dyDescent="0.2">
      <c r="B432" s="5"/>
      <c r="C432" s="5"/>
      <c r="D432" s="5"/>
      <c r="E432" s="5"/>
      <c r="F432" s="7" t="s">
        <v>26</v>
      </c>
      <c r="G432" s="5"/>
      <c r="H432" s="5"/>
      <c r="K432" s="16">
        <v>0</v>
      </c>
    </row>
    <row r="433" spans="1:12" x14ac:dyDescent="0.2">
      <c r="B433" s="5"/>
      <c r="C433" s="5"/>
      <c r="D433" s="5"/>
      <c r="E433" s="5"/>
      <c r="F433" s="7" t="s">
        <v>27</v>
      </c>
      <c r="G433" s="5"/>
      <c r="H433" s="5"/>
      <c r="K433" s="16">
        <f>K431+K432</f>
        <v>0</v>
      </c>
    </row>
    <row r="434" spans="1:12" x14ac:dyDescent="0.2">
      <c r="B434" s="28" t="s">
        <v>28</v>
      </c>
      <c r="C434" s="28"/>
      <c r="D434" s="28"/>
      <c r="E434" s="5"/>
      <c r="F434" s="7" t="s">
        <v>29</v>
      </c>
      <c r="G434" s="5"/>
      <c r="H434" s="13">
        <v>0.16</v>
      </c>
      <c r="K434" s="17">
        <f>K433*0.16</f>
        <v>0</v>
      </c>
    </row>
    <row r="435" spans="1:12" x14ac:dyDescent="0.2">
      <c r="B435" s="5"/>
      <c r="C435" s="5"/>
      <c r="D435" s="5"/>
      <c r="E435" s="5"/>
      <c r="F435" s="7" t="s">
        <v>30</v>
      </c>
      <c r="G435" s="5"/>
      <c r="H435" s="5"/>
      <c r="K435" s="17">
        <f>K433*1.16</f>
        <v>0</v>
      </c>
    </row>
    <row r="439" spans="1:12" ht="13.5" customHeight="1" x14ac:dyDescent="0.2">
      <c r="A439" s="35" t="s">
        <v>34</v>
      </c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</row>
    <row r="440" spans="1:12" x14ac:dyDescent="0.2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</row>
    <row r="441" spans="1:12" ht="15" customHeight="1" x14ac:dyDescent="0.2">
      <c r="A441" s="36" t="s">
        <v>31</v>
      </c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</row>
    <row r="442" spans="1:12" ht="15" customHeight="1" x14ac:dyDescent="0.2"/>
    <row r="443" spans="1:12" x14ac:dyDescent="0.2">
      <c r="C443" s="2" t="s">
        <v>32</v>
      </c>
      <c r="D443" s="2"/>
      <c r="E443" s="2"/>
      <c r="F443" s="2"/>
      <c r="G443" s="2"/>
      <c r="H443" s="2"/>
      <c r="I443" s="2"/>
      <c r="J443" s="2"/>
      <c r="K443" s="2"/>
      <c r="L443" s="2"/>
    </row>
    <row r="444" spans="1:12" x14ac:dyDescent="0.2">
      <c r="D444" s="2"/>
      <c r="E444" s="2"/>
      <c r="F444" s="2"/>
      <c r="G444" s="2"/>
      <c r="H444" s="2"/>
      <c r="J444" s="2"/>
      <c r="K444" s="2"/>
    </row>
    <row r="445" spans="1:12" x14ac:dyDescent="0.2">
      <c r="C445" s="2"/>
      <c r="I445" s="2"/>
    </row>
    <row r="447" spans="1:12" x14ac:dyDescent="0.2">
      <c r="K447" s="38"/>
    </row>
    <row r="448" spans="1:12" x14ac:dyDescent="0.2">
      <c r="K448" s="39"/>
    </row>
    <row r="451" spans="2:12" x14ac:dyDescent="0.2">
      <c r="C451" s="20" t="s">
        <v>0</v>
      </c>
      <c r="D451" s="20"/>
      <c r="E451" s="5"/>
      <c r="F451" s="6"/>
      <c r="H451" s="5" t="s">
        <v>1</v>
      </c>
      <c r="I451" s="4"/>
    </row>
    <row r="452" spans="2:12" ht="20.25" customHeight="1" x14ac:dyDescent="0.2"/>
    <row r="453" spans="2:12" ht="14.25" customHeight="1" x14ac:dyDescent="0.2">
      <c r="B453" s="5" t="s">
        <v>2</v>
      </c>
      <c r="C453" s="34" t="s">
        <v>3</v>
      </c>
      <c r="D453" s="34"/>
      <c r="E453" s="5"/>
      <c r="F453" s="5" t="s">
        <v>4</v>
      </c>
      <c r="G453" s="5"/>
      <c r="H453" s="8" t="s">
        <v>5</v>
      </c>
      <c r="J453" s="7" t="s">
        <v>6</v>
      </c>
      <c r="K453" s="19"/>
    </row>
    <row r="454" spans="2:12" x14ac:dyDescent="0.2">
      <c r="B454" s="5" t="s">
        <v>7</v>
      </c>
      <c r="C454" s="23" t="s">
        <v>8</v>
      </c>
      <c r="D454" s="23"/>
      <c r="E454" s="7" t="s">
        <v>9</v>
      </c>
      <c r="F454" s="5"/>
      <c r="G454" s="5"/>
      <c r="H454" s="5"/>
      <c r="I454" s="5"/>
      <c r="J454" s="7" t="s">
        <v>10</v>
      </c>
      <c r="K454" s="19"/>
      <c r="L454" s="5"/>
    </row>
    <row r="455" spans="2:12" x14ac:dyDescent="0.2">
      <c r="B455" s="28" t="s">
        <v>33</v>
      </c>
      <c r="C455" s="28"/>
      <c r="D455" s="6" t="s">
        <v>11</v>
      </c>
      <c r="E455" s="7" t="s">
        <v>12</v>
      </c>
      <c r="F455" s="8" t="s">
        <v>13</v>
      </c>
      <c r="G455" s="7" t="s">
        <v>14</v>
      </c>
      <c r="H455" s="9" t="s">
        <v>15</v>
      </c>
      <c r="I455" s="5"/>
      <c r="J455" s="5"/>
      <c r="K455" s="5"/>
      <c r="L455" s="5"/>
    </row>
    <row r="456" spans="2:12" ht="14.25" customHeight="1" x14ac:dyDescent="0.2">
      <c r="B456" s="5" t="s">
        <v>16</v>
      </c>
      <c r="C456" s="27" t="s">
        <v>17</v>
      </c>
      <c r="D456" s="27"/>
      <c r="E456" s="27"/>
      <c r="F456" s="27"/>
      <c r="G456" s="27"/>
      <c r="H456" s="5"/>
      <c r="I456" s="5"/>
      <c r="J456" s="5"/>
      <c r="K456" s="5"/>
      <c r="L456" s="5"/>
    </row>
    <row r="457" spans="2:12" x14ac:dyDescent="0.2">
      <c r="B457" s="5"/>
      <c r="C457" s="27" t="s">
        <v>18</v>
      </c>
      <c r="D457" s="27"/>
      <c r="E457" s="27"/>
      <c r="F457" s="27"/>
      <c r="G457" s="27"/>
      <c r="H457" s="5"/>
      <c r="I457" s="5"/>
      <c r="J457" s="5"/>
      <c r="K457" s="5"/>
      <c r="L457" s="5"/>
    </row>
    <row r="458" spans="2:12" ht="9" customHeight="1" x14ac:dyDescent="0.2">
      <c r="B458" s="5" t="s">
        <v>19</v>
      </c>
      <c r="C458" s="5"/>
      <c r="D458" s="5"/>
      <c r="E458" s="5"/>
      <c r="F458" s="5"/>
      <c r="G458" s="5"/>
      <c r="H458" s="5"/>
      <c r="I458" s="5"/>
      <c r="J458" s="5"/>
      <c r="K458" s="5"/>
      <c r="L458" s="5"/>
    </row>
    <row r="459" spans="2:12" x14ac:dyDescent="0.2">
      <c r="B459" s="29" t="s">
        <v>20</v>
      </c>
      <c r="C459" s="29"/>
      <c r="D459" s="29"/>
      <c r="E459" s="29"/>
      <c r="F459" s="29"/>
      <c r="G459" s="29"/>
      <c r="H459" s="10" t="s">
        <v>21</v>
      </c>
      <c r="I459" s="30" t="s">
        <v>22</v>
      </c>
      <c r="J459" s="31"/>
      <c r="K459" s="10" t="s">
        <v>23</v>
      </c>
      <c r="L459" s="12"/>
    </row>
    <row r="460" spans="2:12" ht="14.25" customHeight="1" x14ac:dyDescent="0.2">
      <c r="B460" s="32"/>
      <c r="C460" s="32"/>
      <c r="D460" s="32"/>
      <c r="E460" s="32"/>
      <c r="F460" s="32"/>
      <c r="G460" s="32"/>
      <c r="H460" s="1"/>
      <c r="I460" s="33"/>
      <c r="J460" s="33"/>
      <c r="K460" s="18"/>
      <c r="L460" s="11"/>
    </row>
    <row r="461" spans="2:12" x14ac:dyDescent="0.2"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11"/>
    </row>
    <row r="462" spans="2:12" x14ac:dyDescent="0.2">
      <c r="B462" s="22"/>
      <c r="C462" s="22"/>
      <c r="D462" s="22"/>
      <c r="E462" s="22"/>
      <c r="F462" s="22"/>
      <c r="G462" s="22"/>
      <c r="H462" s="1"/>
      <c r="I462" s="25"/>
      <c r="J462" s="26"/>
      <c r="K462" s="14"/>
      <c r="L462" s="11"/>
    </row>
    <row r="463" spans="2:12" x14ac:dyDescent="0.2"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11"/>
    </row>
    <row r="464" spans="2:12" x14ac:dyDescent="0.2">
      <c r="B464" s="22"/>
      <c r="C464" s="22"/>
      <c r="D464" s="22"/>
      <c r="E464" s="22"/>
      <c r="F464" s="22"/>
      <c r="G464" s="22"/>
      <c r="H464" s="1"/>
      <c r="I464" s="25"/>
      <c r="J464" s="26"/>
      <c r="K464" s="14"/>
      <c r="L464" s="11"/>
    </row>
    <row r="465" spans="2:12" x14ac:dyDescent="0.2"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11"/>
    </row>
    <row r="466" spans="2:12" ht="14.25" customHeight="1" x14ac:dyDescent="0.2">
      <c r="B466" s="24"/>
      <c r="C466" s="24"/>
      <c r="D466" s="24"/>
      <c r="E466" s="24"/>
      <c r="F466" s="24"/>
      <c r="G466" s="24"/>
      <c r="H466" s="1"/>
      <c r="I466" s="25"/>
      <c r="J466" s="26"/>
      <c r="K466" s="14"/>
      <c r="L466" s="11"/>
    </row>
    <row r="467" spans="2:12" x14ac:dyDescent="0.2"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11"/>
    </row>
    <row r="468" spans="2:12" x14ac:dyDescent="0.2">
      <c r="B468" s="22"/>
      <c r="C468" s="22"/>
      <c r="D468" s="22"/>
      <c r="E468" s="22"/>
      <c r="F468" s="22"/>
      <c r="G468" s="22"/>
      <c r="H468" s="1"/>
      <c r="I468" s="25"/>
      <c r="J468" s="26"/>
      <c r="K468" s="14"/>
      <c r="L468" s="11"/>
    </row>
    <row r="469" spans="2:12" x14ac:dyDescent="0.2"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11"/>
    </row>
    <row r="470" spans="2:12" x14ac:dyDescent="0.2">
      <c r="B470" s="22"/>
      <c r="C470" s="22"/>
      <c r="D470" s="22"/>
      <c r="E470" s="22"/>
      <c r="F470" s="22"/>
      <c r="G470" s="22"/>
      <c r="H470" s="1"/>
      <c r="I470" s="25"/>
      <c r="J470" s="26"/>
      <c r="K470" s="14"/>
      <c r="L470" s="11"/>
    </row>
    <row r="471" spans="2:12" x14ac:dyDescent="0.2"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11"/>
    </row>
    <row r="472" spans="2:12" x14ac:dyDescent="0.2">
      <c r="B472" s="22"/>
      <c r="C472" s="22"/>
      <c r="D472" s="22"/>
      <c r="E472" s="22"/>
      <c r="F472" s="22"/>
      <c r="G472" s="22"/>
      <c r="H472" s="1"/>
      <c r="I472" s="25"/>
      <c r="J472" s="26"/>
      <c r="K472" s="14"/>
      <c r="L472" s="11"/>
    </row>
    <row r="473" spans="2:12" x14ac:dyDescent="0.2"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11"/>
    </row>
    <row r="474" spans="2:12" ht="14.25" customHeight="1" x14ac:dyDescent="0.2">
      <c r="B474" s="24"/>
      <c r="C474" s="24"/>
      <c r="D474" s="24"/>
      <c r="E474" s="24"/>
      <c r="F474" s="24"/>
      <c r="G474" s="24"/>
      <c r="H474" s="1"/>
      <c r="I474" s="25"/>
      <c r="J474" s="26"/>
      <c r="K474" s="14"/>
      <c r="L474" s="11"/>
    </row>
    <row r="475" spans="2:12" x14ac:dyDescent="0.2">
      <c r="B475" s="22"/>
      <c r="C475" s="22"/>
      <c r="D475" s="22"/>
      <c r="E475" s="22"/>
      <c r="F475" s="22"/>
      <c r="G475" s="22"/>
      <c r="H475" s="22"/>
      <c r="I475" s="22"/>
      <c r="J475" s="22"/>
      <c r="K475" s="22"/>
    </row>
    <row r="476" spans="2:12" ht="14.25" customHeight="1" x14ac:dyDescent="0.2">
      <c r="B476" s="24"/>
      <c r="C476" s="24"/>
      <c r="D476" s="24"/>
      <c r="E476" s="24"/>
      <c r="F476" s="24"/>
      <c r="G476" s="24"/>
      <c r="H476" s="1"/>
      <c r="I476" s="37"/>
      <c r="J476" s="26"/>
      <c r="K476" s="14"/>
    </row>
    <row r="477" spans="2:12" x14ac:dyDescent="0.2">
      <c r="B477" s="22"/>
      <c r="C477" s="22"/>
      <c r="D477" s="22"/>
      <c r="E477" s="22"/>
      <c r="F477" s="22"/>
      <c r="G477" s="22"/>
      <c r="H477" s="22"/>
      <c r="I477" s="22"/>
      <c r="J477" s="22"/>
      <c r="K477" s="22"/>
    </row>
    <row r="478" spans="2:12" x14ac:dyDescent="0.2">
      <c r="B478" s="22"/>
      <c r="C478" s="22"/>
      <c r="D478" s="22"/>
      <c r="E478" s="22"/>
      <c r="F478" s="22"/>
      <c r="G478" s="22"/>
      <c r="H478" s="1"/>
      <c r="I478" s="21"/>
      <c r="J478" s="21"/>
      <c r="K478" s="11"/>
    </row>
    <row r="479" spans="2:12" x14ac:dyDescent="0.2">
      <c r="B479" s="22"/>
      <c r="C479" s="22"/>
      <c r="D479" s="22"/>
      <c r="E479" s="22"/>
      <c r="F479" s="22"/>
      <c r="G479" s="22"/>
      <c r="H479" s="1"/>
      <c r="I479" s="21"/>
      <c r="J479" s="21"/>
      <c r="K479" s="11"/>
    </row>
    <row r="480" spans="2:12" x14ac:dyDescent="0.2">
      <c r="B480" s="5" t="s">
        <v>24</v>
      </c>
      <c r="C480" s="5"/>
      <c r="D480" s="5"/>
      <c r="E480" s="5"/>
      <c r="F480" s="7" t="s">
        <v>25</v>
      </c>
      <c r="G480" s="5"/>
      <c r="H480" s="5"/>
      <c r="K480" s="16">
        <f>SUM(K460,K462,K464,K466,K468,K470,K472,K474,K476)</f>
        <v>0</v>
      </c>
    </row>
    <row r="481" spans="1:12" x14ac:dyDescent="0.2">
      <c r="B481" s="5"/>
      <c r="C481" s="5"/>
      <c r="D481" s="5"/>
      <c r="E481" s="5"/>
      <c r="F481" s="7" t="s">
        <v>26</v>
      </c>
      <c r="G481" s="5"/>
      <c r="H481" s="5"/>
      <c r="K481" s="16">
        <v>0</v>
      </c>
    </row>
    <row r="482" spans="1:12" x14ac:dyDescent="0.2">
      <c r="B482" s="5"/>
      <c r="C482" s="5"/>
      <c r="D482" s="5"/>
      <c r="E482" s="5"/>
      <c r="F482" s="7" t="s">
        <v>27</v>
      </c>
      <c r="G482" s="5"/>
      <c r="H482" s="5"/>
      <c r="K482" s="16">
        <f>K480+K481</f>
        <v>0</v>
      </c>
    </row>
    <row r="483" spans="1:12" x14ac:dyDescent="0.2">
      <c r="B483" s="28" t="s">
        <v>28</v>
      </c>
      <c r="C483" s="28"/>
      <c r="D483" s="28"/>
      <c r="E483" s="5"/>
      <c r="F483" s="7" t="s">
        <v>29</v>
      </c>
      <c r="G483" s="5"/>
      <c r="H483" s="13">
        <v>0.16</v>
      </c>
      <c r="K483" s="17">
        <f>K482*0.16</f>
        <v>0</v>
      </c>
    </row>
    <row r="484" spans="1:12" x14ac:dyDescent="0.2">
      <c r="B484" s="5"/>
      <c r="C484" s="5"/>
      <c r="D484" s="5"/>
      <c r="E484" s="5"/>
      <c r="F484" s="7" t="s">
        <v>30</v>
      </c>
      <c r="G484" s="5"/>
      <c r="H484" s="5"/>
      <c r="K484" s="17">
        <f>K482*1.16</f>
        <v>0</v>
      </c>
    </row>
    <row r="488" spans="1:12" ht="13.5" customHeight="1" x14ac:dyDescent="0.2">
      <c r="A488" s="35" t="s">
        <v>34</v>
      </c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</row>
    <row r="489" spans="1:12" x14ac:dyDescent="0.2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</row>
    <row r="490" spans="1:12" ht="15" customHeight="1" x14ac:dyDescent="0.2">
      <c r="A490" s="36" t="s">
        <v>31</v>
      </c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</row>
    <row r="491" spans="1:12" ht="15" customHeight="1" x14ac:dyDescent="0.2"/>
    <row r="492" spans="1:12" x14ac:dyDescent="0.2">
      <c r="C492" s="2" t="s">
        <v>32</v>
      </c>
      <c r="D492" s="2"/>
      <c r="E492" s="2"/>
      <c r="F492" s="2"/>
      <c r="G492" s="2"/>
      <c r="H492" s="2"/>
      <c r="I492" s="2"/>
      <c r="J492" s="2"/>
      <c r="K492" s="2"/>
      <c r="L492" s="2"/>
    </row>
    <row r="493" spans="1:12" x14ac:dyDescent="0.2">
      <c r="D493" s="2"/>
      <c r="E493" s="2"/>
      <c r="F493" s="2"/>
      <c r="G493" s="2"/>
      <c r="H493" s="2"/>
      <c r="J493" s="2"/>
      <c r="K493" s="2"/>
    </row>
    <row r="494" spans="1:12" x14ac:dyDescent="0.2">
      <c r="C494" s="2"/>
      <c r="I494" s="2"/>
    </row>
    <row r="496" spans="1:12" x14ac:dyDescent="0.2">
      <c r="K496" s="38"/>
    </row>
    <row r="497" spans="2:12" x14ac:dyDescent="0.2">
      <c r="K497" s="39"/>
    </row>
    <row r="500" spans="2:12" x14ac:dyDescent="0.2">
      <c r="C500" s="20" t="s">
        <v>0</v>
      </c>
      <c r="D500" s="20"/>
      <c r="E500" s="5"/>
      <c r="F500" s="6"/>
      <c r="H500" s="5" t="s">
        <v>1</v>
      </c>
      <c r="I500" s="4"/>
    </row>
    <row r="501" spans="2:12" ht="20.25" customHeight="1" x14ac:dyDescent="0.2"/>
    <row r="502" spans="2:12" ht="14.25" customHeight="1" x14ac:dyDescent="0.2">
      <c r="B502" s="5" t="s">
        <v>2</v>
      </c>
      <c r="C502" s="34" t="s">
        <v>3</v>
      </c>
      <c r="D502" s="34"/>
      <c r="E502" s="5"/>
      <c r="F502" s="5" t="s">
        <v>4</v>
      </c>
      <c r="G502" s="5"/>
      <c r="H502" s="8" t="s">
        <v>5</v>
      </c>
      <c r="J502" s="7" t="s">
        <v>6</v>
      </c>
      <c r="K502" s="19"/>
    </row>
    <row r="503" spans="2:12" x14ac:dyDescent="0.2">
      <c r="B503" s="5" t="s">
        <v>7</v>
      </c>
      <c r="C503" s="23" t="s">
        <v>8</v>
      </c>
      <c r="D503" s="23"/>
      <c r="E503" s="7" t="s">
        <v>9</v>
      </c>
      <c r="F503" s="5"/>
      <c r="G503" s="5"/>
      <c r="H503" s="5"/>
      <c r="I503" s="5"/>
      <c r="J503" s="7" t="s">
        <v>10</v>
      </c>
      <c r="K503" s="19"/>
      <c r="L503" s="5"/>
    </row>
    <row r="504" spans="2:12" x14ac:dyDescent="0.2">
      <c r="B504" s="28" t="s">
        <v>33</v>
      </c>
      <c r="C504" s="28"/>
      <c r="D504" s="6" t="s">
        <v>11</v>
      </c>
      <c r="E504" s="7" t="s">
        <v>12</v>
      </c>
      <c r="F504" s="8" t="s">
        <v>13</v>
      </c>
      <c r="G504" s="7" t="s">
        <v>14</v>
      </c>
      <c r="H504" s="9" t="s">
        <v>15</v>
      </c>
      <c r="I504" s="5"/>
      <c r="J504" s="5"/>
      <c r="K504" s="5"/>
      <c r="L504" s="5"/>
    </row>
    <row r="505" spans="2:12" ht="14.25" customHeight="1" x14ac:dyDescent="0.2">
      <c r="B505" s="5" t="s">
        <v>16</v>
      </c>
      <c r="C505" s="27" t="s">
        <v>17</v>
      </c>
      <c r="D505" s="27"/>
      <c r="E505" s="27"/>
      <c r="F505" s="27"/>
      <c r="G505" s="27"/>
      <c r="H505" s="5"/>
      <c r="I505" s="5"/>
      <c r="J505" s="5"/>
      <c r="K505" s="5"/>
      <c r="L505" s="5"/>
    </row>
    <row r="506" spans="2:12" x14ac:dyDescent="0.2">
      <c r="B506" s="5"/>
      <c r="C506" s="27" t="s">
        <v>18</v>
      </c>
      <c r="D506" s="27"/>
      <c r="E506" s="27"/>
      <c r="F506" s="27"/>
      <c r="G506" s="27"/>
      <c r="H506" s="5"/>
      <c r="I506" s="5"/>
      <c r="J506" s="5"/>
      <c r="K506" s="5"/>
      <c r="L506" s="5"/>
    </row>
    <row r="507" spans="2:12" ht="9" customHeight="1" x14ac:dyDescent="0.2">
      <c r="B507" s="5" t="s">
        <v>19</v>
      </c>
      <c r="C507" s="5"/>
      <c r="D507" s="5"/>
      <c r="E507" s="5"/>
      <c r="F507" s="5"/>
      <c r="G507" s="5"/>
      <c r="H507" s="5"/>
      <c r="I507" s="5"/>
      <c r="J507" s="5"/>
      <c r="K507" s="5"/>
      <c r="L507" s="5"/>
    </row>
    <row r="508" spans="2:12" x14ac:dyDescent="0.2">
      <c r="B508" s="29" t="s">
        <v>20</v>
      </c>
      <c r="C508" s="29"/>
      <c r="D508" s="29"/>
      <c r="E508" s="29"/>
      <c r="F508" s="29"/>
      <c r="G508" s="29"/>
      <c r="H508" s="10" t="s">
        <v>21</v>
      </c>
      <c r="I508" s="30" t="s">
        <v>22</v>
      </c>
      <c r="J508" s="31"/>
      <c r="K508" s="10" t="s">
        <v>23</v>
      </c>
      <c r="L508" s="12"/>
    </row>
    <row r="509" spans="2:12" ht="14.25" customHeight="1" x14ac:dyDescent="0.2">
      <c r="B509" s="32"/>
      <c r="C509" s="32"/>
      <c r="D509" s="32"/>
      <c r="E509" s="32"/>
      <c r="F509" s="32"/>
      <c r="G509" s="32"/>
      <c r="H509" s="1"/>
      <c r="I509" s="33"/>
      <c r="J509" s="33"/>
      <c r="K509" s="18"/>
      <c r="L509" s="11"/>
    </row>
    <row r="510" spans="2:12" x14ac:dyDescent="0.2"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11"/>
    </row>
    <row r="511" spans="2:12" x14ac:dyDescent="0.2">
      <c r="B511" s="22"/>
      <c r="C511" s="22"/>
      <c r="D511" s="22"/>
      <c r="E511" s="22"/>
      <c r="F511" s="22"/>
      <c r="G511" s="22"/>
      <c r="H511" s="1"/>
      <c r="I511" s="25"/>
      <c r="J511" s="26"/>
      <c r="K511" s="14"/>
      <c r="L511" s="11"/>
    </row>
    <row r="512" spans="2:12" x14ac:dyDescent="0.2"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11"/>
    </row>
    <row r="513" spans="2:12" x14ac:dyDescent="0.2">
      <c r="B513" s="22"/>
      <c r="C513" s="22"/>
      <c r="D513" s="22"/>
      <c r="E513" s="22"/>
      <c r="F513" s="22"/>
      <c r="G513" s="22"/>
      <c r="H513" s="1"/>
      <c r="I513" s="25"/>
      <c r="J513" s="26"/>
      <c r="K513" s="14"/>
      <c r="L513" s="11"/>
    </row>
    <row r="514" spans="2:12" x14ac:dyDescent="0.2"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11"/>
    </row>
    <row r="515" spans="2:12" ht="14.25" customHeight="1" x14ac:dyDescent="0.2">
      <c r="B515" s="24"/>
      <c r="C515" s="24"/>
      <c r="D515" s="24"/>
      <c r="E515" s="24"/>
      <c r="F515" s="24"/>
      <c r="G515" s="24"/>
      <c r="H515" s="1"/>
      <c r="I515" s="25"/>
      <c r="J515" s="26"/>
      <c r="K515" s="14"/>
      <c r="L515" s="11"/>
    </row>
    <row r="516" spans="2:12" x14ac:dyDescent="0.2"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11"/>
    </row>
    <row r="517" spans="2:12" x14ac:dyDescent="0.2">
      <c r="B517" s="22"/>
      <c r="C517" s="22"/>
      <c r="D517" s="22"/>
      <c r="E517" s="22"/>
      <c r="F517" s="22"/>
      <c r="G517" s="22"/>
      <c r="H517" s="1"/>
      <c r="I517" s="25"/>
      <c r="J517" s="26"/>
      <c r="K517" s="14"/>
      <c r="L517" s="11"/>
    </row>
    <row r="518" spans="2:12" x14ac:dyDescent="0.2"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11"/>
    </row>
    <row r="519" spans="2:12" x14ac:dyDescent="0.2">
      <c r="B519" s="22"/>
      <c r="C519" s="22"/>
      <c r="D519" s="22"/>
      <c r="E519" s="22"/>
      <c r="F519" s="22"/>
      <c r="G519" s="22"/>
      <c r="H519" s="1"/>
      <c r="I519" s="25"/>
      <c r="J519" s="26"/>
      <c r="K519" s="14"/>
      <c r="L519" s="11"/>
    </row>
    <row r="520" spans="2:12" x14ac:dyDescent="0.2"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11"/>
    </row>
    <row r="521" spans="2:12" x14ac:dyDescent="0.2">
      <c r="B521" s="22"/>
      <c r="C521" s="22"/>
      <c r="D521" s="22"/>
      <c r="E521" s="22"/>
      <c r="F521" s="22"/>
      <c r="G521" s="22"/>
      <c r="H521" s="1"/>
      <c r="I521" s="25"/>
      <c r="J521" s="26"/>
      <c r="K521" s="14"/>
      <c r="L521" s="11"/>
    </row>
    <row r="522" spans="2:12" x14ac:dyDescent="0.2"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11"/>
    </row>
    <row r="523" spans="2:12" ht="14.25" customHeight="1" x14ac:dyDescent="0.2">
      <c r="B523" s="24"/>
      <c r="C523" s="24"/>
      <c r="D523" s="24"/>
      <c r="E523" s="24"/>
      <c r="F523" s="24"/>
      <c r="G523" s="24"/>
      <c r="H523" s="1"/>
      <c r="I523" s="25"/>
      <c r="J523" s="26"/>
      <c r="K523" s="14"/>
      <c r="L523" s="11"/>
    </row>
    <row r="524" spans="2:12" x14ac:dyDescent="0.2">
      <c r="B524" s="22"/>
      <c r="C524" s="22"/>
      <c r="D524" s="22"/>
      <c r="E524" s="22"/>
      <c r="F524" s="22"/>
      <c r="G524" s="22"/>
      <c r="H524" s="22"/>
      <c r="I524" s="22"/>
      <c r="J524" s="22"/>
      <c r="K524" s="22"/>
    </row>
    <row r="525" spans="2:12" ht="14.25" customHeight="1" x14ac:dyDescent="0.2">
      <c r="B525" s="24"/>
      <c r="C525" s="24"/>
      <c r="D525" s="24"/>
      <c r="E525" s="24"/>
      <c r="F525" s="24"/>
      <c r="G525" s="24"/>
      <c r="H525" s="1"/>
      <c r="I525" s="37"/>
      <c r="J525" s="26"/>
      <c r="K525" s="14"/>
    </row>
    <row r="526" spans="2:12" x14ac:dyDescent="0.2">
      <c r="B526" s="22"/>
      <c r="C526" s="22"/>
      <c r="D526" s="22"/>
      <c r="E526" s="22"/>
      <c r="F526" s="22"/>
      <c r="G526" s="22"/>
      <c r="H526" s="22"/>
      <c r="I526" s="22"/>
      <c r="J526" s="22"/>
      <c r="K526" s="22"/>
    </row>
    <row r="527" spans="2:12" x14ac:dyDescent="0.2">
      <c r="B527" s="22"/>
      <c r="C527" s="22"/>
      <c r="D527" s="22"/>
      <c r="E527" s="22"/>
      <c r="F527" s="22"/>
      <c r="G527" s="22"/>
      <c r="H527" s="1"/>
      <c r="I527" s="21"/>
      <c r="J527" s="21"/>
      <c r="K527" s="11"/>
    </row>
    <row r="528" spans="2:12" x14ac:dyDescent="0.2">
      <c r="B528" s="22"/>
      <c r="C528" s="22"/>
      <c r="D528" s="22"/>
      <c r="E528" s="22"/>
      <c r="F528" s="22"/>
      <c r="G528" s="22"/>
      <c r="H528" s="1"/>
      <c r="I528" s="21"/>
      <c r="J528" s="21"/>
      <c r="K528" s="11"/>
    </row>
    <row r="529" spans="1:15" x14ac:dyDescent="0.2">
      <c r="B529" s="5" t="s">
        <v>24</v>
      </c>
      <c r="C529" s="5"/>
      <c r="D529" s="5"/>
      <c r="E529" s="5"/>
      <c r="F529" s="7" t="s">
        <v>25</v>
      </c>
      <c r="G529" s="5"/>
      <c r="H529" s="5"/>
      <c r="K529" s="16">
        <f>SUM(K509,K511,K513,K515,K517,K519,K521,K523,K525)</f>
        <v>0</v>
      </c>
    </row>
    <row r="530" spans="1:15" x14ac:dyDescent="0.2">
      <c r="B530" s="5"/>
      <c r="C530" s="5"/>
      <c r="D530" s="5"/>
      <c r="E530" s="5"/>
      <c r="F530" s="7" t="s">
        <v>26</v>
      </c>
      <c r="G530" s="5"/>
      <c r="H530" s="5"/>
      <c r="K530" s="16">
        <v>0</v>
      </c>
    </row>
    <row r="531" spans="1:15" x14ac:dyDescent="0.2">
      <c r="B531" s="5"/>
      <c r="C531" s="5"/>
      <c r="D531" s="5"/>
      <c r="E531" s="5"/>
      <c r="F531" s="7" t="s">
        <v>27</v>
      </c>
      <c r="G531" s="5"/>
      <c r="H531" s="5"/>
      <c r="K531" s="16">
        <f>K529+K530</f>
        <v>0</v>
      </c>
    </row>
    <row r="532" spans="1:15" x14ac:dyDescent="0.2">
      <c r="B532" s="28" t="s">
        <v>28</v>
      </c>
      <c r="C532" s="28"/>
      <c r="D532" s="28"/>
      <c r="E532" s="5"/>
      <c r="F532" s="7" t="s">
        <v>29</v>
      </c>
      <c r="G532" s="5"/>
      <c r="H532" s="13">
        <v>0.16</v>
      </c>
      <c r="K532" s="17">
        <f>K531*0.16</f>
        <v>0</v>
      </c>
    </row>
    <row r="533" spans="1:15" x14ac:dyDescent="0.2">
      <c r="B533" s="5"/>
      <c r="C533" s="5"/>
      <c r="D533" s="5"/>
      <c r="E533" s="5"/>
      <c r="F533" s="7" t="s">
        <v>30</v>
      </c>
      <c r="G533" s="5"/>
      <c r="H533" s="5"/>
      <c r="K533" s="17">
        <f>K531*1.16</f>
        <v>0</v>
      </c>
    </row>
    <row r="537" spans="1:15" ht="13.5" customHeight="1" x14ac:dyDescent="0.2">
      <c r="A537" s="35" t="s">
        <v>34</v>
      </c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</row>
    <row r="538" spans="1:15" x14ac:dyDescent="0.2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</row>
    <row r="539" spans="1:15" ht="15" customHeight="1" x14ac:dyDescent="0.2">
      <c r="A539" s="36" t="s">
        <v>31</v>
      </c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</row>
    <row r="540" spans="1:15" ht="15" customHeight="1" x14ac:dyDescent="0.2"/>
    <row r="541" spans="1:15" x14ac:dyDescent="0.2">
      <c r="C541" s="2" t="s">
        <v>32</v>
      </c>
      <c r="D541" s="2"/>
      <c r="E541" s="2"/>
      <c r="F541" s="2"/>
      <c r="G541" s="2"/>
      <c r="H541" s="2"/>
      <c r="I541" s="2"/>
      <c r="J541" s="2"/>
      <c r="K541" s="2"/>
      <c r="L541" s="2"/>
    </row>
    <row r="542" spans="1:15" x14ac:dyDescent="0.2">
      <c r="D542" s="2"/>
      <c r="E542" s="2"/>
      <c r="F542" s="2"/>
      <c r="G542" s="2"/>
      <c r="H542" s="2"/>
      <c r="J542" s="2"/>
      <c r="K542" s="2"/>
    </row>
    <row r="543" spans="1:15" x14ac:dyDescent="0.2">
      <c r="C543" s="2"/>
      <c r="I543" s="2"/>
      <c r="O543" s="3" t="s">
        <v>35</v>
      </c>
    </row>
    <row r="545" spans="2:12" x14ac:dyDescent="0.2">
      <c r="K545" s="38"/>
    </row>
    <row r="546" spans="2:12" x14ac:dyDescent="0.2">
      <c r="K546" s="39"/>
    </row>
    <row r="549" spans="2:12" x14ac:dyDescent="0.2">
      <c r="C549" s="20" t="s">
        <v>0</v>
      </c>
      <c r="D549" s="20"/>
      <c r="E549" s="5"/>
      <c r="F549" s="6"/>
      <c r="H549" s="5" t="s">
        <v>1</v>
      </c>
      <c r="I549" s="4"/>
    </row>
    <row r="550" spans="2:12" ht="20.25" customHeight="1" x14ac:dyDescent="0.2"/>
    <row r="551" spans="2:12" ht="14.25" customHeight="1" x14ac:dyDescent="0.2">
      <c r="B551" s="5" t="s">
        <v>2</v>
      </c>
      <c r="C551" s="34" t="s">
        <v>3</v>
      </c>
      <c r="D551" s="34"/>
      <c r="E551" s="5"/>
      <c r="F551" s="5" t="s">
        <v>4</v>
      </c>
      <c r="G551" s="5"/>
      <c r="H551" s="8" t="s">
        <v>5</v>
      </c>
      <c r="J551" s="7" t="s">
        <v>6</v>
      </c>
      <c r="K551" s="19"/>
    </row>
    <row r="552" spans="2:12" x14ac:dyDescent="0.2">
      <c r="B552" s="5" t="s">
        <v>7</v>
      </c>
      <c r="C552" s="23" t="s">
        <v>8</v>
      </c>
      <c r="D552" s="23"/>
      <c r="E552" s="7" t="s">
        <v>9</v>
      </c>
      <c r="F552" s="5"/>
      <c r="G552" s="5"/>
      <c r="H552" s="5"/>
      <c r="I552" s="5"/>
      <c r="J552" s="7" t="s">
        <v>10</v>
      </c>
      <c r="K552" s="19"/>
      <c r="L552" s="5"/>
    </row>
    <row r="553" spans="2:12" x14ac:dyDescent="0.2">
      <c r="B553" s="28" t="s">
        <v>33</v>
      </c>
      <c r="C553" s="28"/>
      <c r="D553" s="6" t="s">
        <v>11</v>
      </c>
      <c r="E553" s="7" t="s">
        <v>12</v>
      </c>
      <c r="F553" s="8" t="s">
        <v>13</v>
      </c>
      <c r="G553" s="7" t="s">
        <v>14</v>
      </c>
      <c r="H553" s="9" t="s">
        <v>15</v>
      </c>
      <c r="I553" s="5"/>
      <c r="J553" s="5"/>
      <c r="K553" s="5"/>
      <c r="L553" s="5"/>
    </row>
    <row r="554" spans="2:12" ht="14.25" customHeight="1" x14ac:dyDescent="0.2">
      <c r="B554" s="5" t="s">
        <v>16</v>
      </c>
      <c r="C554" s="27" t="s">
        <v>17</v>
      </c>
      <c r="D554" s="27"/>
      <c r="E554" s="27"/>
      <c r="F554" s="27"/>
      <c r="G554" s="27"/>
      <c r="H554" s="5"/>
      <c r="I554" s="5"/>
      <c r="J554" s="5"/>
      <c r="K554" s="5"/>
      <c r="L554" s="5"/>
    </row>
    <row r="555" spans="2:12" x14ac:dyDescent="0.2">
      <c r="B555" s="5"/>
      <c r="C555" s="27" t="s">
        <v>18</v>
      </c>
      <c r="D555" s="27"/>
      <c r="E555" s="27"/>
      <c r="F555" s="27"/>
      <c r="G555" s="27"/>
      <c r="H555" s="5"/>
      <c r="I555" s="5"/>
      <c r="J555" s="5"/>
      <c r="K555" s="5"/>
      <c r="L555" s="5"/>
    </row>
    <row r="556" spans="2:12" ht="9" customHeight="1" x14ac:dyDescent="0.2">
      <c r="B556" s="5" t="s">
        <v>19</v>
      </c>
      <c r="C556" s="5"/>
      <c r="D556" s="5"/>
      <c r="E556" s="5"/>
      <c r="F556" s="5"/>
      <c r="G556" s="5"/>
      <c r="H556" s="5"/>
      <c r="I556" s="5"/>
      <c r="J556" s="5"/>
      <c r="K556" s="5"/>
      <c r="L556" s="5"/>
    </row>
    <row r="557" spans="2:12" x14ac:dyDescent="0.2">
      <c r="B557" s="29" t="s">
        <v>20</v>
      </c>
      <c r="C557" s="29"/>
      <c r="D557" s="29"/>
      <c r="E557" s="29"/>
      <c r="F557" s="29"/>
      <c r="G557" s="29"/>
      <c r="H557" s="10" t="s">
        <v>21</v>
      </c>
      <c r="I557" s="30" t="s">
        <v>22</v>
      </c>
      <c r="J557" s="31"/>
      <c r="K557" s="10" t="s">
        <v>23</v>
      </c>
      <c r="L557" s="12"/>
    </row>
    <row r="558" spans="2:12" ht="14.25" customHeight="1" x14ac:dyDescent="0.2">
      <c r="B558" s="32"/>
      <c r="C558" s="32"/>
      <c r="D558" s="32"/>
      <c r="E558" s="32"/>
      <c r="F558" s="32"/>
      <c r="G558" s="32"/>
      <c r="H558" s="1"/>
      <c r="I558" s="33"/>
      <c r="J558" s="33"/>
      <c r="K558" s="18"/>
      <c r="L558" s="11"/>
    </row>
    <row r="559" spans="2:12" x14ac:dyDescent="0.2"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11"/>
    </row>
    <row r="560" spans="2:12" x14ac:dyDescent="0.2">
      <c r="B560" s="22"/>
      <c r="C560" s="22"/>
      <c r="D560" s="22"/>
      <c r="E560" s="22"/>
      <c r="F560" s="22"/>
      <c r="G560" s="22"/>
      <c r="H560" s="1"/>
      <c r="I560" s="25"/>
      <c r="J560" s="26"/>
      <c r="K560" s="14"/>
      <c r="L560" s="11"/>
    </row>
    <row r="561" spans="2:12" x14ac:dyDescent="0.2"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11"/>
    </row>
    <row r="562" spans="2:12" x14ac:dyDescent="0.2">
      <c r="B562" s="22"/>
      <c r="C562" s="22"/>
      <c r="D562" s="22"/>
      <c r="E562" s="22"/>
      <c r="F562" s="22"/>
      <c r="G562" s="22"/>
      <c r="H562" s="1"/>
      <c r="I562" s="25"/>
      <c r="J562" s="26"/>
      <c r="K562" s="14"/>
      <c r="L562" s="11"/>
    </row>
    <row r="563" spans="2:12" x14ac:dyDescent="0.2"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11"/>
    </row>
    <row r="564" spans="2:12" ht="14.25" customHeight="1" x14ac:dyDescent="0.2">
      <c r="B564" s="24"/>
      <c r="C564" s="24"/>
      <c r="D564" s="24"/>
      <c r="E564" s="24"/>
      <c r="F564" s="24"/>
      <c r="G564" s="24"/>
      <c r="H564" s="1"/>
      <c r="I564" s="25"/>
      <c r="J564" s="26"/>
      <c r="K564" s="14"/>
      <c r="L564" s="11"/>
    </row>
    <row r="565" spans="2:12" x14ac:dyDescent="0.2"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11"/>
    </row>
    <row r="566" spans="2:12" x14ac:dyDescent="0.2">
      <c r="B566" s="22"/>
      <c r="C566" s="22"/>
      <c r="D566" s="22"/>
      <c r="E566" s="22"/>
      <c r="F566" s="22"/>
      <c r="G566" s="22"/>
      <c r="H566" s="1"/>
      <c r="I566" s="25"/>
      <c r="J566" s="26"/>
      <c r="K566" s="14"/>
      <c r="L566" s="11"/>
    </row>
    <row r="567" spans="2:12" x14ac:dyDescent="0.2"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11"/>
    </row>
    <row r="568" spans="2:12" x14ac:dyDescent="0.2">
      <c r="B568" s="22"/>
      <c r="C568" s="22"/>
      <c r="D568" s="22"/>
      <c r="E568" s="22"/>
      <c r="F568" s="22"/>
      <c r="G568" s="22"/>
      <c r="H568" s="1"/>
      <c r="I568" s="25"/>
      <c r="J568" s="26"/>
      <c r="K568" s="14"/>
      <c r="L568" s="11"/>
    </row>
    <row r="569" spans="2:12" x14ac:dyDescent="0.2"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11"/>
    </row>
    <row r="570" spans="2:12" x14ac:dyDescent="0.2">
      <c r="B570" s="22"/>
      <c r="C570" s="22"/>
      <c r="D570" s="22"/>
      <c r="E570" s="22"/>
      <c r="F570" s="22"/>
      <c r="G570" s="22"/>
      <c r="H570" s="1"/>
      <c r="I570" s="25"/>
      <c r="J570" s="26"/>
      <c r="K570" s="14"/>
      <c r="L570" s="11"/>
    </row>
    <row r="571" spans="2:12" x14ac:dyDescent="0.2"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11"/>
    </row>
    <row r="572" spans="2:12" ht="14.25" customHeight="1" x14ac:dyDescent="0.2">
      <c r="B572" s="24"/>
      <c r="C572" s="24"/>
      <c r="D572" s="24"/>
      <c r="E572" s="24"/>
      <c r="F572" s="24"/>
      <c r="G572" s="24"/>
      <c r="H572" s="1"/>
      <c r="I572" s="25"/>
      <c r="J572" s="26"/>
      <c r="K572" s="14"/>
      <c r="L572" s="11"/>
    </row>
    <row r="573" spans="2:12" x14ac:dyDescent="0.2">
      <c r="B573" s="22"/>
      <c r="C573" s="22"/>
      <c r="D573" s="22"/>
      <c r="E573" s="22"/>
      <c r="F573" s="22"/>
      <c r="G573" s="22"/>
      <c r="H573" s="22"/>
      <c r="I573" s="22"/>
      <c r="J573" s="22"/>
      <c r="K573" s="22"/>
    </row>
    <row r="574" spans="2:12" ht="14.25" customHeight="1" x14ac:dyDescent="0.2">
      <c r="B574" s="24"/>
      <c r="C574" s="24"/>
      <c r="D574" s="24"/>
      <c r="E574" s="24"/>
      <c r="F574" s="24"/>
      <c r="G574" s="24"/>
      <c r="H574" s="1"/>
      <c r="I574" s="37"/>
      <c r="J574" s="26"/>
      <c r="K574" s="14"/>
    </row>
    <row r="575" spans="2:12" x14ac:dyDescent="0.2">
      <c r="B575" s="22"/>
      <c r="C575" s="22"/>
      <c r="D575" s="22"/>
      <c r="E575" s="22"/>
      <c r="F575" s="22"/>
      <c r="G575" s="22"/>
      <c r="H575" s="22"/>
      <c r="I575" s="22"/>
      <c r="J575" s="22"/>
      <c r="K575" s="22"/>
    </row>
    <row r="576" spans="2:12" x14ac:dyDescent="0.2">
      <c r="B576" s="22"/>
      <c r="C576" s="22"/>
      <c r="D576" s="22"/>
      <c r="E576" s="22"/>
      <c r="F576" s="22"/>
      <c r="G576" s="22"/>
      <c r="H576" s="1"/>
      <c r="I576" s="21"/>
      <c r="J576" s="21"/>
      <c r="K576" s="11"/>
    </row>
    <row r="577" spans="1:12" x14ac:dyDescent="0.2">
      <c r="B577" s="22"/>
      <c r="C577" s="22"/>
      <c r="D577" s="22"/>
      <c r="E577" s="22"/>
      <c r="F577" s="22"/>
      <c r="G577" s="22"/>
      <c r="H577" s="1"/>
      <c r="I577" s="21"/>
      <c r="J577" s="21"/>
      <c r="K577" s="11"/>
    </row>
    <row r="578" spans="1:12" x14ac:dyDescent="0.2">
      <c r="B578" s="5" t="s">
        <v>24</v>
      </c>
      <c r="C578" s="5"/>
      <c r="D578" s="5"/>
      <c r="E578" s="5"/>
      <c r="F578" s="7" t="s">
        <v>25</v>
      </c>
      <c r="G578" s="5"/>
      <c r="H578" s="5"/>
      <c r="K578" s="16">
        <f>SUM(K558,K560,K562,K564,K566,K568,K570,K572,K574)</f>
        <v>0</v>
      </c>
    </row>
    <row r="579" spans="1:12" x14ac:dyDescent="0.2">
      <c r="B579" s="5"/>
      <c r="C579" s="5"/>
      <c r="D579" s="5"/>
      <c r="E579" s="5"/>
      <c r="F579" s="7" t="s">
        <v>26</v>
      </c>
      <c r="G579" s="5"/>
      <c r="H579" s="5"/>
      <c r="K579" s="16">
        <v>0</v>
      </c>
    </row>
    <row r="580" spans="1:12" x14ac:dyDescent="0.2">
      <c r="B580" s="5"/>
      <c r="C580" s="5"/>
      <c r="D580" s="5"/>
      <c r="E580" s="5"/>
      <c r="F580" s="7" t="s">
        <v>27</v>
      </c>
      <c r="G580" s="5"/>
      <c r="H580" s="5"/>
      <c r="K580" s="16">
        <f>K578+K579</f>
        <v>0</v>
      </c>
    </row>
    <row r="581" spans="1:12" x14ac:dyDescent="0.2">
      <c r="B581" s="28" t="s">
        <v>28</v>
      </c>
      <c r="C581" s="28"/>
      <c r="D581" s="28"/>
      <c r="E581" s="5"/>
      <c r="F581" s="7" t="s">
        <v>29</v>
      </c>
      <c r="G581" s="5"/>
      <c r="H581" s="13">
        <v>0.16</v>
      </c>
      <c r="K581" s="17">
        <f>K580*0.16</f>
        <v>0</v>
      </c>
    </row>
    <row r="582" spans="1:12" x14ac:dyDescent="0.2">
      <c r="B582" s="5"/>
      <c r="C582" s="5"/>
      <c r="D582" s="5"/>
      <c r="E582" s="5"/>
      <c r="F582" s="7" t="s">
        <v>30</v>
      </c>
      <c r="G582" s="5"/>
      <c r="H582" s="5"/>
      <c r="K582" s="17">
        <f>K580*1.16</f>
        <v>0</v>
      </c>
    </row>
    <row r="586" spans="1:12" ht="13.5" customHeight="1" x14ac:dyDescent="0.2">
      <c r="A586" s="35" t="s">
        <v>34</v>
      </c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</row>
    <row r="587" spans="1:12" x14ac:dyDescent="0.2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</row>
    <row r="588" spans="1:12" ht="15" customHeight="1" x14ac:dyDescent="0.2">
      <c r="A588" s="36" t="s">
        <v>31</v>
      </c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</row>
    <row r="589" spans="1:12" ht="15" customHeight="1" x14ac:dyDescent="0.2"/>
    <row r="590" spans="1:12" x14ac:dyDescent="0.2">
      <c r="C590" s="2" t="s">
        <v>32</v>
      </c>
      <c r="D590" s="2"/>
      <c r="E590" s="2"/>
      <c r="F590" s="2"/>
      <c r="G590" s="2"/>
      <c r="H590" s="2"/>
      <c r="I590" s="2"/>
      <c r="J590" s="2"/>
      <c r="K590" s="2"/>
      <c r="L590" s="2"/>
    </row>
    <row r="591" spans="1:12" x14ac:dyDescent="0.2">
      <c r="D591" s="2"/>
      <c r="E591" s="2"/>
      <c r="F591" s="2"/>
      <c r="G591" s="2"/>
      <c r="H591" s="2"/>
      <c r="J591" s="2"/>
      <c r="K591" s="2"/>
    </row>
    <row r="592" spans="1:12" x14ac:dyDescent="0.2">
      <c r="C592" s="2"/>
      <c r="I592" s="2"/>
    </row>
    <row r="594" spans="2:12" x14ac:dyDescent="0.2">
      <c r="K594" s="38"/>
    </row>
    <row r="595" spans="2:12" x14ac:dyDescent="0.2">
      <c r="K595" s="39"/>
    </row>
    <row r="598" spans="2:12" x14ac:dyDescent="0.2">
      <c r="C598" s="20" t="s">
        <v>0</v>
      </c>
      <c r="D598" s="20"/>
      <c r="E598" s="5"/>
      <c r="F598" s="6"/>
      <c r="H598" s="5" t="s">
        <v>1</v>
      </c>
      <c r="I598" s="4"/>
    </row>
    <row r="599" spans="2:12" ht="20.25" customHeight="1" x14ac:dyDescent="0.2"/>
    <row r="600" spans="2:12" ht="14.25" customHeight="1" x14ac:dyDescent="0.2">
      <c r="B600" s="5" t="s">
        <v>2</v>
      </c>
      <c r="C600" s="34" t="s">
        <v>3</v>
      </c>
      <c r="D600" s="34"/>
      <c r="E600" s="5"/>
      <c r="F600" s="5" t="s">
        <v>4</v>
      </c>
      <c r="G600" s="5"/>
      <c r="H600" s="8" t="s">
        <v>5</v>
      </c>
      <c r="J600" s="7" t="s">
        <v>6</v>
      </c>
      <c r="K600" s="19"/>
    </row>
    <row r="601" spans="2:12" x14ac:dyDescent="0.2">
      <c r="B601" s="5" t="s">
        <v>7</v>
      </c>
      <c r="C601" s="23" t="s">
        <v>8</v>
      </c>
      <c r="D601" s="23"/>
      <c r="E601" s="7" t="s">
        <v>9</v>
      </c>
      <c r="F601" s="5"/>
      <c r="G601" s="5"/>
      <c r="H601" s="5"/>
      <c r="I601" s="5"/>
      <c r="J601" s="7" t="s">
        <v>10</v>
      </c>
      <c r="K601" s="19"/>
      <c r="L601" s="5"/>
    </row>
    <row r="602" spans="2:12" x14ac:dyDescent="0.2">
      <c r="B602" s="28" t="s">
        <v>33</v>
      </c>
      <c r="C602" s="28"/>
      <c r="D602" s="6" t="s">
        <v>11</v>
      </c>
      <c r="E602" s="7" t="s">
        <v>12</v>
      </c>
      <c r="F602" s="8" t="s">
        <v>13</v>
      </c>
      <c r="G602" s="7" t="s">
        <v>14</v>
      </c>
      <c r="H602" s="9" t="s">
        <v>15</v>
      </c>
      <c r="I602" s="5"/>
      <c r="J602" s="5"/>
      <c r="K602" s="5"/>
      <c r="L602" s="5"/>
    </row>
    <row r="603" spans="2:12" ht="14.25" customHeight="1" x14ac:dyDescent="0.2">
      <c r="B603" s="5" t="s">
        <v>16</v>
      </c>
      <c r="C603" s="27" t="s">
        <v>17</v>
      </c>
      <c r="D603" s="27"/>
      <c r="E603" s="27"/>
      <c r="F603" s="27"/>
      <c r="G603" s="27"/>
      <c r="H603" s="5"/>
      <c r="I603" s="5"/>
      <c r="J603" s="5"/>
      <c r="K603" s="5"/>
      <c r="L603" s="5"/>
    </row>
    <row r="604" spans="2:12" x14ac:dyDescent="0.2">
      <c r="B604" s="5"/>
      <c r="C604" s="27" t="s">
        <v>18</v>
      </c>
      <c r="D604" s="27"/>
      <c r="E604" s="27"/>
      <c r="F604" s="27"/>
      <c r="G604" s="27"/>
      <c r="H604" s="5"/>
      <c r="I604" s="5"/>
      <c r="J604" s="5"/>
      <c r="K604" s="5"/>
      <c r="L604" s="5"/>
    </row>
    <row r="605" spans="2:12" ht="9" customHeight="1" x14ac:dyDescent="0.2">
      <c r="B605" s="5" t="s">
        <v>19</v>
      </c>
      <c r="C605" s="5"/>
      <c r="D605" s="5"/>
      <c r="E605" s="5"/>
      <c r="F605" s="5"/>
      <c r="G605" s="5"/>
      <c r="H605" s="5"/>
      <c r="I605" s="5"/>
      <c r="J605" s="5"/>
      <c r="K605" s="5"/>
      <c r="L605" s="5"/>
    </row>
    <row r="606" spans="2:12" x14ac:dyDescent="0.2">
      <c r="B606" s="29" t="s">
        <v>20</v>
      </c>
      <c r="C606" s="29"/>
      <c r="D606" s="29"/>
      <c r="E606" s="29"/>
      <c r="F606" s="29"/>
      <c r="G606" s="29"/>
      <c r="H606" s="10" t="s">
        <v>21</v>
      </c>
      <c r="I606" s="30" t="s">
        <v>22</v>
      </c>
      <c r="J606" s="31"/>
      <c r="K606" s="10" t="s">
        <v>23</v>
      </c>
      <c r="L606" s="12"/>
    </row>
    <row r="607" spans="2:12" ht="14.25" customHeight="1" x14ac:dyDescent="0.2">
      <c r="B607" s="32"/>
      <c r="C607" s="32"/>
      <c r="D607" s="32"/>
      <c r="E607" s="32"/>
      <c r="F607" s="32"/>
      <c r="G607" s="32"/>
      <c r="H607" s="1"/>
      <c r="I607" s="33"/>
      <c r="J607" s="33"/>
      <c r="K607" s="18"/>
      <c r="L607" s="11"/>
    </row>
    <row r="608" spans="2:12" x14ac:dyDescent="0.2"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11"/>
    </row>
    <row r="609" spans="2:12" x14ac:dyDescent="0.2">
      <c r="B609" s="22"/>
      <c r="C609" s="22"/>
      <c r="D609" s="22"/>
      <c r="E609" s="22"/>
      <c r="F609" s="22"/>
      <c r="G609" s="22"/>
      <c r="H609" s="1"/>
      <c r="I609" s="25"/>
      <c r="J609" s="26"/>
      <c r="K609" s="14"/>
      <c r="L609" s="11"/>
    </row>
    <row r="610" spans="2:12" x14ac:dyDescent="0.2"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11"/>
    </row>
    <row r="611" spans="2:12" x14ac:dyDescent="0.2">
      <c r="B611" s="22"/>
      <c r="C611" s="22"/>
      <c r="D611" s="22"/>
      <c r="E611" s="22"/>
      <c r="F611" s="22"/>
      <c r="G611" s="22"/>
      <c r="H611" s="1"/>
      <c r="I611" s="25"/>
      <c r="J611" s="26"/>
      <c r="K611" s="14"/>
      <c r="L611" s="11"/>
    </row>
    <row r="612" spans="2:12" x14ac:dyDescent="0.2"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11"/>
    </row>
    <row r="613" spans="2:12" ht="14.25" customHeight="1" x14ac:dyDescent="0.2">
      <c r="B613" s="24"/>
      <c r="C613" s="24"/>
      <c r="D613" s="24"/>
      <c r="E613" s="24"/>
      <c r="F613" s="24"/>
      <c r="G613" s="24"/>
      <c r="H613" s="1"/>
      <c r="I613" s="25"/>
      <c r="J613" s="26"/>
      <c r="K613" s="14"/>
      <c r="L613" s="11"/>
    </row>
    <row r="614" spans="2:12" x14ac:dyDescent="0.2"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11"/>
    </row>
    <row r="615" spans="2:12" x14ac:dyDescent="0.2">
      <c r="B615" s="22"/>
      <c r="C615" s="22"/>
      <c r="D615" s="22"/>
      <c r="E615" s="22"/>
      <c r="F615" s="22"/>
      <c r="G615" s="22"/>
      <c r="H615" s="1"/>
      <c r="I615" s="25"/>
      <c r="J615" s="26"/>
      <c r="K615" s="14"/>
      <c r="L615" s="11"/>
    </row>
    <row r="616" spans="2:12" x14ac:dyDescent="0.2"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11"/>
    </row>
    <row r="617" spans="2:12" x14ac:dyDescent="0.2">
      <c r="B617" s="22"/>
      <c r="C617" s="22"/>
      <c r="D617" s="22"/>
      <c r="E617" s="22"/>
      <c r="F617" s="22"/>
      <c r="G617" s="22"/>
      <c r="H617" s="1"/>
      <c r="I617" s="25"/>
      <c r="J617" s="26"/>
      <c r="K617" s="14"/>
      <c r="L617" s="11"/>
    </row>
    <row r="618" spans="2:12" x14ac:dyDescent="0.2"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11"/>
    </row>
    <row r="619" spans="2:12" x14ac:dyDescent="0.2">
      <c r="B619" s="22"/>
      <c r="C619" s="22"/>
      <c r="D619" s="22"/>
      <c r="E619" s="22"/>
      <c r="F619" s="22"/>
      <c r="G619" s="22"/>
      <c r="H619" s="1"/>
      <c r="I619" s="25"/>
      <c r="J619" s="26"/>
      <c r="K619" s="14"/>
      <c r="L619" s="11"/>
    </row>
    <row r="620" spans="2:12" x14ac:dyDescent="0.2"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11"/>
    </row>
    <row r="621" spans="2:12" ht="14.25" customHeight="1" x14ac:dyDescent="0.2">
      <c r="B621" s="24"/>
      <c r="C621" s="24"/>
      <c r="D621" s="24"/>
      <c r="E621" s="24"/>
      <c r="F621" s="24"/>
      <c r="G621" s="24"/>
      <c r="H621" s="1"/>
      <c r="I621" s="25"/>
      <c r="J621" s="26"/>
      <c r="K621" s="14"/>
      <c r="L621" s="11"/>
    </row>
    <row r="622" spans="2:12" x14ac:dyDescent="0.2">
      <c r="B622" s="22"/>
      <c r="C622" s="22"/>
      <c r="D622" s="22"/>
      <c r="E622" s="22"/>
      <c r="F622" s="22"/>
      <c r="G622" s="22"/>
      <c r="H622" s="22"/>
      <c r="I622" s="22"/>
      <c r="J622" s="22"/>
      <c r="K622" s="22"/>
    </row>
    <row r="623" spans="2:12" ht="14.25" customHeight="1" x14ac:dyDescent="0.2">
      <c r="B623" s="24"/>
      <c r="C623" s="24"/>
      <c r="D623" s="24"/>
      <c r="E623" s="24"/>
      <c r="F623" s="24"/>
      <c r="G623" s="24"/>
      <c r="H623" s="1"/>
      <c r="I623" s="37"/>
      <c r="J623" s="26"/>
      <c r="K623" s="14"/>
    </row>
    <row r="624" spans="2:12" x14ac:dyDescent="0.2">
      <c r="B624" s="22"/>
      <c r="C624" s="22"/>
      <c r="D624" s="22"/>
      <c r="E624" s="22"/>
      <c r="F624" s="22"/>
      <c r="G624" s="22"/>
      <c r="H624" s="22"/>
      <c r="I624" s="22"/>
      <c r="J624" s="22"/>
      <c r="K624" s="22"/>
    </row>
    <row r="625" spans="1:12" x14ac:dyDescent="0.2">
      <c r="B625" s="22"/>
      <c r="C625" s="22"/>
      <c r="D625" s="22"/>
      <c r="E625" s="22"/>
      <c r="F625" s="22"/>
      <c r="G625" s="22"/>
      <c r="H625" s="1"/>
      <c r="I625" s="21"/>
      <c r="J625" s="21"/>
      <c r="K625" s="11"/>
    </row>
    <row r="626" spans="1:12" x14ac:dyDescent="0.2">
      <c r="B626" s="22"/>
      <c r="C626" s="22"/>
      <c r="D626" s="22"/>
      <c r="E626" s="22"/>
      <c r="F626" s="22"/>
      <c r="G626" s="22"/>
      <c r="H626" s="1"/>
      <c r="I626" s="21"/>
      <c r="J626" s="21"/>
      <c r="K626" s="11"/>
    </row>
    <row r="627" spans="1:12" x14ac:dyDescent="0.2">
      <c r="B627" s="5" t="s">
        <v>24</v>
      </c>
      <c r="C627" s="5"/>
      <c r="D627" s="5"/>
      <c r="E627" s="5"/>
      <c r="F627" s="7" t="s">
        <v>25</v>
      </c>
      <c r="G627" s="5"/>
      <c r="H627" s="5"/>
      <c r="K627" s="16">
        <f>SUM(K607,K609,K611,K613,K615,K617,K619,K621,K623)</f>
        <v>0</v>
      </c>
    </row>
    <row r="628" spans="1:12" x14ac:dyDescent="0.2">
      <c r="B628" s="5"/>
      <c r="C628" s="5"/>
      <c r="D628" s="5"/>
      <c r="E628" s="5"/>
      <c r="F628" s="7" t="s">
        <v>26</v>
      </c>
      <c r="G628" s="5"/>
      <c r="H628" s="5"/>
      <c r="K628" s="16">
        <v>0</v>
      </c>
    </row>
    <row r="629" spans="1:12" x14ac:dyDescent="0.2">
      <c r="B629" s="5"/>
      <c r="C629" s="5"/>
      <c r="D629" s="5"/>
      <c r="E629" s="5"/>
      <c r="F629" s="7" t="s">
        <v>27</v>
      </c>
      <c r="G629" s="5"/>
      <c r="H629" s="5"/>
      <c r="K629" s="16">
        <f>K627+K628</f>
        <v>0</v>
      </c>
    </row>
    <row r="630" spans="1:12" x14ac:dyDescent="0.2">
      <c r="B630" s="28" t="s">
        <v>28</v>
      </c>
      <c r="C630" s="28"/>
      <c r="D630" s="28"/>
      <c r="E630" s="5"/>
      <c r="F630" s="7" t="s">
        <v>29</v>
      </c>
      <c r="G630" s="5"/>
      <c r="H630" s="13">
        <v>0.16</v>
      </c>
      <c r="K630" s="17">
        <f>K629*0.16</f>
        <v>0</v>
      </c>
    </row>
    <row r="631" spans="1:12" x14ac:dyDescent="0.2">
      <c r="B631" s="5"/>
      <c r="C631" s="5"/>
      <c r="D631" s="5"/>
      <c r="E631" s="5"/>
      <c r="F631" s="7" t="s">
        <v>30</v>
      </c>
      <c r="G631" s="5"/>
      <c r="H631" s="5"/>
      <c r="K631" s="17">
        <f>K629*1.16</f>
        <v>0</v>
      </c>
    </row>
    <row r="635" spans="1:12" ht="13.5" customHeight="1" x14ac:dyDescent="0.2">
      <c r="A635" s="35" t="s">
        <v>34</v>
      </c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</row>
    <row r="636" spans="1:12" x14ac:dyDescent="0.2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</row>
    <row r="637" spans="1:12" ht="15" customHeight="1" x14ac:dyDescent="0.2">
      <c r="A637" s="36" t="s">
        <v>31</v>
      </c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</row>
    <row r="638" spans="1:12" ht="15" customHeight="1" x14ac:dyDescent="0.2"/>
    <row r="639" spans="1:12" x14ac:dyDescent="0.2">
      <c r="C639" s="2" t="s">
        <v>32</v>
      </c>
      <c r="D639" s="2"/>
      <c r="E639" s="2"/>
      <c r="F639" s="2"/>
      <c r="G639" s="2"/>
      <c r="H639" s="2"/>
      <c r="I639" s="2"/>
      <c r="J639" s="2"/>
      <c r="K639" s="2"/>
      <c r="L639" s="2"/>
    </row>
    <row r="640" spans="1:12" x14ac:dyDescent="0.2">
      <c r="D640" s="2"/>
      <c r="E640" s="2"/>
      <c r="F640" s="2"/>
      <c r="G640" s="2"/>
      <c r="H640" s="2"/>
      <c r="J640" s="2"/>
      <c r="K640" s="2"/>
    </row>
    <row r="641" spans="2:12" x14ac:dyDescent="0.2">
      <c r="C641" s="2"/>
      <c r="I641" s="2"/>
    </row>
    <row r="643" spans="2:12" x14ac:dyDescent="0.2">
      <c r="K643" s="38"/>
    </row>
    <row r="644" spans="2:12" x14ac:dyDescent="0.2">
      <c r="K644" s="39"/>
    </row>
    <row r="647" spans="2:12" x14ac:dyDescent="0.2">
      <c r="C647" s="20" t="s">
        <v>0</v>
      </c>
      <c r="D647" s="20"/>
      <c r="E647" s="5"/>
      <c r="F647" s="6"/>
      <c r="H647" s="5" t="s">
        <v>1</v>
      </c>
      <c r="I647" s="4"/>
    </row>
    <row r="648" spans="2:12" ht="20.25" customHeight="1" x14ac:dyDescent="0.2"/>
    <row r="649" spans="2:12" ht="14.25" customHeight="1" x14ac:dyDescent="0.2">
      <c r="B649" s="5" t="s">
        <v>2</v>
      </c>
      <c r="C649" s="34" t="s">
        <v>3</v>
      </c>
      <c r="D649" s="34"/>
      <c r="E649" s="5"/>
      <c r="F649" s="5" t="s">
        <v>4</v>
      </c>
      <c r="G649" s="5"/>
      <c r="H649" s="8" t="s">
        <v>5</v>
      </c>
      <c r="J649" s="7" t="s">
        <v>6</v>
      </c>
      <c r="K649" s="19"/>
    </row>
    <row r="650" spans="2:12" x14ac:dyDescent="0.2">
      <c r="B650" s="5" t="s">
        <v>7</v>
      </c>
      <c r="C650" s="23" t="s">
        <v>8</v>
      </c>
      <c r="D650" s="23"/>
      <c r="E650" s="7" t="s">
        <v>9</v>
      </c>
      <c r="F650" s="5"/>
      <c r="G650" s="5"/>
      <c r="H650" s="5"/>
      <c r="I650" s="5"/>
      <c r="J650" s="7" t="s">
        <v>10</v>
      </c>
      <c r="K650" s="19"/>
      <c r="L650" s="5"/>
    </row>
    <row r="651" spans="2:12" x14ac:dyDescent="0.2">
      <c r="B651" s="28" t="s">
        <v>33</v>
      </c>
      <c r="C651" s="28"/>
      <c r="D651" s="6" t="s">
        <v>11</v>
      </c>
      <c r="E651" s="7" t="s">
        <v>12</v>
      </c>
      <c r="F651" s="8" t="s">
        <v>13</v>
      </c>
      <c r="G651" s="7" t="s">
        <v>14</v>
      </c>
      <c r="H651" s="9" t="s">
        <v>15</v>
      </c>
      <c r="I651" s="5"/>
      <c r="J651" s="5"/>
      <c r="K651" s="5"/>
      <c r="L651" s="5"/>
    </row>
    <row r="652" spans="2:12" ht="14.25" customHeight="1" x14ac:dyDescent="0.2">
      <c r="B652" s="5" t="s">
        <v>16</v>
      </c>
      <c r="C652" s="27" t="s">
        <v>17</v>
      </c>
      <c r="D652" s="27"/>
      <c r="E652" s="27"/>
      <c r="F652" s="27"/>
      <c r="G652" s="27"/>
      <c r="H652" s="5"/>
      <c r="I652" s="5"/>
      <c r="J652" s="5"/>
      <c r="K652" s="5"/>
      <c r="L652" s="5"/>
    </row>
    <row r="653" spans="2:12" x14ac:dyDescent="0.2">
      <c r="B653" s="5"/>
      <c r="C653" s="27" t="s">
        <v>18</v>
      </c>
      <c r="D653" s="27"/>
      <c r="E653" s="27"/>
      <c r="F653" s="27"/>
      <c r="G653" s="27"/>
      <c r="H653" s="5"/>
      <c r="I653" s="5"/>
      <c r="J653" s="5"/>
      <c r="K653" s="5"/>
      <c r="L653" s="5"/>
    </row>
    <row r="654" spans="2:12" ht="9" customHeight="1" x14ac:dyDescent="0.2">
      <c r="B654" s="5" t="s">
        <v>19</v>
      </c>
      <c r="C654" s="5"/>
      <c r="D654" s="5"/>
      <c r="E654" s="5"/>
      <c r="F654" s="5"/>
      <c r="G654" s="5"/>
      <c r="H654" s="5"/>
      <c r="I654" s="5"/>
      <c r="J654" s="5"/>
      <c r="K654" s="5"/>
      <c r="L654" s="5"/>
    </row>
    <row r="655" spans="2:12" x14ac:dyDescent="0.2">
      <c r="B655" s="29" t="s">
        <v>20</v>
      </c>
      <c r="C655" s="29"/>
      <c r="D655" s="29"/>
      <c r="E655" s="29"/>
      <c r="F655" s="29"/>
      <c r="G655" s="29"/>
      <c r="H655" s="10" t="s">
        <v>21</v>
      </c>
      <c r="I655" s="30" t="s">
        <v>22</v>
      </c>
      <c r="J655" s="31"/>
      <c r="K655" s="10" t="s">
        <v>23</v>
      </c>
      <c r="L655" s="12"/>
    </row>
    <row r="656" spans="2:12" ht="14.25" customHeight="1" x14ac:dyDescent="0.2">
      <c r="B656" s="32"/>
      <c r="C656" s="32"/>
      <c r="D656" s="32"/>
      <c r="E656" s="32"/>
      <c r="F656" s="32"/>
      <c r="G656" s="32"/>
      <c r="H656" s="1"/>
      <c r="I656" s="33"/>
      <c r="J656" s="33"/>
      <c r="K656" s="18"/>
      <c r="L656" s="11"/>
    </row>
    <row r="657" spans="2:12" x14ac:dyDescent="0.2"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11"/>
    </row>
    <row r="658" spans="2:12" x14ac:dyDescent="0.2">
      <c r="B658" s="22"/>
      <c r="C658" s="22"/>
      <c r="D658" s="22"/>
      <c r="E658" s="22"/>
      <c r="F658" s="22"/>
      <c r="G658" s="22"/>
      <c r="H658" s="1"/>
      <c r="I658" s="25"/>
      <c r="J658" s="26"/>
      <c r="K658" s="14"/>
      <c r="L658" s="11"/>
    </row>
    <row r="659" spans="2:12" x14ac:dyDescent="0.2"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11"/>
    </row>
    <row r="660" spans="2:12" x14ac:dyDescent="0.2">
      <c r="B660" s="22"/>
      <c r="C660" s="22"/>
      <c r="D660" s="22"/>
      <c r="E660" s="22"/>
      <c r="F660" s="22"/>
      <c r="G660" s="22"/>
      <c r="H660" s="1"/>
      <c r="I660" s="25"/>
      <c r="J660" s="26"/>
      <c r="K660" s="14"/>
      <c r="L660" s="11"/>
    </row>
    <row r="661" spans="2:12" x14ac:dyDescent="0.2"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11"/>
    </row>
    <row r="662" spans="2:12" ht="14.25" customHeight="1" x14ac:dyDescent="0.2">
      <c r="B662" s="24"/>
      <c r="C662" s="24"/>
      <c r="D662" s="24"/>
      <c r="E662" s="24"/>
      <c r="F662" s="24"/>
      <c r="G662" s="24"/>
      <c r="H662" s="1"/>
      <c r="I662" s="25"/>
      <c r="J662" s="26"/>
      <c r="K662" s="14"/>
      <c r="L662" s="11"/>
    </row>
    <row r="663" spans="2:12" x14ac:dyDescent="0.2"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11"/>
    </row>
    <row r="664" spans="2:12" x14ac:dyDescent="0.2">
      <c r="B664" s="22"/>
      <c r="C664" s="22"/>
      <c r="D664" s="22"/>
      <c r="E664" s="22"/>
      <c r="F664" s="22"/>
      <c r="G664" s="22"/>
      <c r="H664" s="1"/>
      <c r="I664" s="25"/>
      <c r="J664" s="26"/>
      <c r="K664" s="14"/>
      <c r="L664" s="11"/>
    </row>
    <row r="665" spans="2:12" x14ac:dyDescent="0.2"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11"/>
    </row>
    <row r="666" spans="2:12" x14ac:dyDescent="0.2">
      <c r="B666" s="22"/>
      <c r="C666" s="22"/>
      <c r="D666" s="22"/>
      <c r="E666" s="22"/>
      <c r="F666" s="22"/>
      <c r="G666" s="22"/>
      <c r="H666" s="1"/>
      <c r="I666" s="25"/>
      <c r="J666" s="26"/>
      <c r="K666" s="14"/>
      <c r="L666" s="11"/>
    </row>
    <row r="667" spans="2:12" x14ac:dyDescent="0.2"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11"/>
    </row>
    <row r="668" spans="2:12" x14ac:dyDescent="0.2">
      <c r="B668" s="22"/>
      <c r="C668" s="22"/>
      <c r="D668" s="22"/>
      <c r="E668" s="22"/>
      <c r="F668" s="22"/>
      <c r="G668" s="22"/>
      <c r="H668" s="1"/>
      <c r="I668" s="25"/>
      <c r="J668" s="26"/>
      <c r="K668" s="14"/>
      <c r="L668" s="11"/>
    </row>
    <row r="669" spans="2:12" x14ac:dyDescent="0.2"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11"/>
    </row>
    <row r="670" spans="2:12" ht="14.25" customHeight="1" x14ac:dyDescent="0.2">
      <c r="B670" s="24"/>
      <c r="C670" s="24"/>
      <c r="D670" s="24"/>
      <c r="E670" s="24"/>
      <c r="F670" s="24"/>
      <c r="G670" s="24"/>
      <c r="H670" s="1"/>
      <c r="I670" s="25"/>
      <c r="J670" s="26"/>
      <c r="K670" s="14"/>
      <c r="L670" s="11"/>
    </row>
    <row r="671" spans="2:12" x14ac:dyDescent="0.2">
      <c r="B671" s="22"/>
      <c r="C671" s="22"/>
      <c r="D671" s="22"/>
      <c r="E671" s="22"/>
      <c r="F671" s="22"/>
      <c r="G671" s="22"/>
      <c r="H671" s="22"/>
      <c r="I671" s="22"/>
      <c r="J671" s="22"/>
      <c r="K671" s="22"/>
    </row>
    <row r="672" spans="2:12" ht="14.25" customHeight="1" x14ac:dyDescent="0.2">
      <c r="B672" s="24"/>
      <c r="C672" s="24"/>
      <c r="D672" s="24"/>
      <c r="E672" s="24"/>
      <c r="F672" s="24"/>
      <c r="G672" s="24"/>
      <c r="H672" s="1"/>
      <c r="I672" s="37"/>
      <c r="J672" s="26"/>
      <c r="K672" s="14"/>
    </row>
    <row r="673" spans="1:12" x14ac:dyDescent="0.2">
      <c r="B673" s="22"/>
      <c r="C673" s="22"/>
      <c r="D673" s="22"/>
      <c r="E673" s="22"/>
      <c r="F673" s="22"/>
      <c r="G673" s="22"/>
      <c r="H673" s="22"/>
      <c r="I673" s="22"/>
      <c r="J673" s="22"/>
      <c r="K673" s="22"/>
    </row>
    <row r="674" spans="1:12" x14ac:dyDescent="0.2">
      <c r="B674" s="22"/>
      <c r="C674" s="22"/>
      <c r="D674" s="22"/>
      <c r="E674" s="22"/>
      <c r="F674" s="22"/>
      <c r="G674" s="22"/>
      <c r="H674" s="1"/>
      <c r="I674" s="21"/>
      <c r="J674" s="21"/>
      <c r="K674" s="11"/>
    </row>
    <row r="675" spans="1:12" x14ac:dyDescent="0.2">
      <c r="B675" s="22"/>
      <c r="C675" s="22"/>
      <c r="D675" s="22"/>
      <c r="E675" s="22"/>
      <c r="F675" s="22"/>
      <c r="G675" s="22"/>
      <c r="H675" s="1"/>
      <c r="I675" s="21"/>
      <c r="J675" s="21"/>
      <c r="K675" s="11"/>
    </row>
    <row r="676" spans="1:12" x14ac:dyDescent="0.2">
      <c r="B676" s="5" t="s">
        <v>24</v>
      </c>
      <c r="C676" s="5"/>
      <c r="D676" s="5"/>
      <c r="E676" s="5"/>
      <c r="F676" s="7" t="s">
        <v>25</v>
      </c>
      <c r="G676" s="5"/>
      <c r="H676" s="5"/>
      <c r="K676" s="16">
        <f>SUM(K656,K658,K660,K662,K664,K666,K668,K670,K672)</f>
        <v>0</v>
      </c>
    </row>
    <row r="677" spans="1:12" x14ac:dyDescent="0.2">
      <c r="B677" s="5"/>
      <c r="C677" s="5"/>
      <c r="D677" s="5"/>
      <c r="E677" s="5"/>
      <c r="F677" s="7" t="s">
        <v>26</v>
      </c>
      <c r="G677" s="5"/>
      <c r="H677" s="5"/>
      <c r="K677" s="16">
        <v>0</v>
      </c>
    </row>
    <row r="678" spans="1:12" x14ac:dyDescent="0.2">
      <c r="B678" s="5"/>
      <c r="C678" s="5"/>
      <c r="D678" s="5"/>
      <c r="E678" s="5"/>
      <c r="F678" s="7" t="s">
        <v>27</v>
      </c>
      <c r="G678" s="5"/>
      <c r="H678" s="5"/>
      <c r="K678" s="16">
        <f>K676+K677</f>
        <v>0</v>
      </c>
    </row>
    <row r="679" spans="1:12" x14ac:dyDescent="0.2">
      <c r="B679" s="28" t="s">
        <v>28</v>
      </c>
      <c r="C679" s="28"/>
      <c r="D679" s="28"/>
      <c r="E679" s="5"/>
      <c r="F679" s="7" t="s">
        <v>29</v>
      </c>
      <c r="G679" s="5"/>
      <c r="H679" s="13">
        <v>0.16</v>
      </c>
      <c r="K679" s="17">
        <f>K678*0.16</f>
        <v>0</v>
      </c>
    </row>
    <row r="680" spans="1:12" x14ac:dyDescent="0.2">
      <c r="B680" s="5"/>
      <c r="C680" s="5"/>
      <c r="D680" s="5"/>
      <c r="E680" s="5"/>
      <c r="F680" s="7" t="s">
        <v>30</v>
      </c>
      <c r="G680" s="5"/>
      <c r="H680" s="5"/>
      <c r="K680" s="17">
        <f>K678*1.16</f>
        <v>0</v>
      </c>
    </row>
    <row r="684" spans="1:12" ht="13.5" customHeight="1" x14ac:dyDescent="0.2">
      <c r="A684" s="35" t="s">
        <v>34</v>
      </c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</row>
    <row r="685" spans="1:12" x14ac:dyDescent="0.2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</row>
    <row r="686" spans="1:12" ht="15" customHeight="1" x14ac:dyDescent="0.2">
      <c r="A686" s="36" t="s">
        <v>31</v>
      </c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</row>
    <row r="687" spans="1:12" ht="15" customHeight="1" x14ac:dyDescent="0.2"/>
    <row r="688" spans="1:12" x14ac:dyDescent="0.2">
      <c r="C688" s="2" t="s">
        <v>32</v>
      </c>
      <c r="D688" s="2"/>
      <c r="E688" s="2"/>
      <c r="F688" s="2"/>
      <c r="G688" s="2"/>
      <c r="H688" s="2"/>
      <c r="I688" s="2"/>
      <c r="J688" s="2"/>
      <c r="K688" s="2"/>
      <c r="L688" s="2"/>
    </row>
    <row r="689" spans="2:12" x14ac:dyDescent="0.2">
      <c r="D689" s="2"/>
      <c r="E689" s="2"/>
      <c r="F689" s="2"/>
      <c r="G689" s="2"/>
      <c r="H689" s="2"/>
      <c r="J689" s="2"/>
      <c r="K689" s="2"/>
    </row>
    <row r="690" spans="2:12" x14ac:dyDescent="0.2">
      <c r="C690" s="2"/>
      <c r="I690" s="2"/>
    </row>
    <row r="692" spans="2:12" x14ac:dyDescent="0.2">
      <c r="K692" s="38"/>
    </row>
    <row r="693" spans="2:12" x14ac:dyDescent="0.2">
      <c r="K693" s="39"/>
    </row>
    <row r="696" spans="2:12" x14ac:dyDescent="0.2">
      <c r="C696" s="20" t="s">
        <v>0</v>
      </c>
      <c r="D696" s="20"/>
      <c r="E696" s="5"/>
      <c r="F696" s="6"/>
      <c r="H696" s="5" t="s">
        <v>1</v>
      </c>
      <c r="I696" s="4"/>
    </row>
    <row r="697" spans="2:12" ht="20.25" customHeight="1" x14ac:dyDescent="0.2"/>
    <row r="698" spans="2:12" ht="14.25" customHeight="1" x14ac:dyDescent="0.2">
      <c r="B698" s="5" t="s">
        <v>2</v>
      </c>
      <c r="C698" s="34" t="s">
        <v>3</v>
      </c>
      <c r="D698" s="34"/>
      <c r="E698" s="5"/>
      <c r="F698" s="5" t="s">
        <v>4</v>
      </c>
      <c r="G698" s="5"/>
      <c r="H698" s="8" t="s">
        <v>5</v>
      </c>
      <c r="J698" s="7" t="s">
        <v>6</v>
      </c>
      <c r="K698" s="19"/>
    </row>
    <row r="699" spans="2:12" x14ac:dyDescent="0.2">
      <c r="B699" s="5" t="s">
        <v>7</v>
      </c>
      <c r="C699" s="23" t="s">
        <v>8</v>
      </c>
      <c r="D699" s="23"/>
      <c r="E699" s="7" t="s">
        <v>9</v>
      </c>
      <c r="F699" s="5"/>
      <c r="G699" s="5"/>
      <c r="H699" s="5"/>
      <c r="I699" s="5"/>
      <c r="J699" s="7" t="s">
        <v>10</v>
      </c>
      <c r="K699" s="19"/>
      <c r="L699" s="5"/>
    </row>
    <row r="700" spans="2:12" x14ac:dyDescent="0.2">
      <c r="B700" s="28" t="s">
        <v>33</v>
      </c>
      <c r="C700" s="28"/>
      <c r="D700" s="6" t="s">
        <v>11</v>
      </c>
      <c r="E700" s="7" t="s">
        <v>12</v>
      </c>
      <c r="F700" s="8" t="s">
        <v>13</v>
      </c>
      <c r="G700" s="7" t="s">
        <v>14</v>
      </c>
      <c r="H700" s="9" t="s">
        <v>15</v>
      </c>
      <c r="I700" s="5"/>
      <c r="J700" s="5"/>
      <c r="K700" s="5"/>
      <c r="L700" s="5"/>
    </row>
    <row r="701" spans="2:12" ht="14.25" customHeight="1" x14ac:dyDescent="0.2">
      <c r="B701" s="5" t="s">
        <v>16</v>
      </c>
      <c r="C701" s="27" t="s">
        <v>17</v>
      </c>
      <c r="D701" s="27"/>
      <c r="E701" s="27"/>
      <c r="F701" s="27"/>
      <c r="G701" s="27"/>
      <c r="H701" s="5"/>
      <c r="I701" s="5"/>
      <c r="J701" s="5"/>
      <c r="K701" s="5"/>
      <c r="L701" s="5"/>
    </row>
    <row r="702" spans="2:12" x14ac:dyDescent="0.2">
      <c r="B702" s="5"/>
      <c r="C702" s="27" t="s">
        <v>18</v>
      </c>
      <c r="D702" s="27"/>
      <c r="E702" s="27"/>
      <c r="F702" s="27"/>
      <c r="G702" s="27"/>
      <c r="H702" s="5"/>
      <c r="I702" s="5"/>
      <c r="J702" s="5"/>
      <c r="K702" s="5"/>
      <c r="L702" s="5"/>
    </row>
    <row r="703" spans="2:12" ht="9" customHeight="1" x14ac:dyDescent="0.2">
      <c r="B703" s="5" t="s">
        <v>19</v>
      </c>
      <c r="C703" s="5"/>
      <c r="D703" s="5"/>
      <c r="E703" s="5"/>
      <c r="F703" s="5"/>
      <c r="G703" s="5"/>
      <c r="H703" s="5"/>
      <c r="I703" s="5"/>
      <c r="J703" s="5"/>
      <c r="K703" s="5"/>
      <c r="L703" s="5"/>
    </row>
    <row r="704" spans="2:12" x14ac:dyDescent="0.2">
      <c r="B704" s="29" t="s">
        <v>20</v>
      </c>
      <c r="C704" s="29"/>
      <c r="D704" s="29"/>
      <c r="E704" s="29"/>
      <c r="F704" s="29"/>
      <c r="G704" s="29"/>
      <c r="H704" s="10" t="s">
        <v>21</v>
      </c>
      <c r="I704" s="30" t="s">
        <v>22</v>
      </c>
      <c r="J704" s="31"/>
      <c r="K704" s="10" t="s">
        <v>23</v>
      </c>
      <c r="L704" s="12"/>
    </row>
    <row r="705" spans="2:12" ht="14.25" customHeight="1" x14ac:dyDescent="0.2">
      <c r="B705" s="32"/>
      <c r="C705" s="32"/>
      <c r="D705" s="32"/>
      <c r="E705" s="32"/>
      <c r="F705" s="32"/>
      <c r="G705" s="32"/>
      <c r="H705" s="1"/>
      <c r="I705" s="33"/>
      <c r="J705" s="33"/>
      <c r="K705" s="18"/>
      <c r="L705" s="11"/>
    </row>
    <row r="706" spans="2:12" x14ac:dyDescent="0.2"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11"/>
    </row>
    <row r="707" spans="2:12" x14ac:dyDescent="0.2">
      <c r="B707" s="22"/>
      <c r="C707" s="22"/>
      <c r="D707" s="22"/>
      <c r="E707" s="22"/>
      <c r="F707" s="22"/>
      <c r="G707" s="22"/>
      <c r="H707" s="1"/>
      <c r="I707" s="25"/>
      <c r="J707" s="26"/>
      <c r="K707" s="14"/>
      <c r="L707" s="11"/>
    </row>
    <row r="708" spans="2:12" x14ac:dyDescent="0.2"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11"/>
    </row>
    <row r="709" spans="2:12" x14ac:dyDescent="0.2">
      <c r="B709" s="22"/>
      <c r="C709" s="22"/>
      <c r="D709" s="22"/>
      <c r="E709" s="22"/>
      <c r="F709" s="22"/>
      <c r="G709" s="22"/>
      <c r="H709" s="1"/>
      <c r="I709" s="25"/>
      <c r="J709" s="26"/>
      <c r="K709" s="14"/>
      <c r="L709" s="11"/>
    </row>
    <row r="710" spans="2:12" x14ac:dyDescent="0.2"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11"/>
    </row>
    <row r="711" spans="2:12" ht="14.25" customHeight="1" x14ac:dyDescent="0.2">
      <c r="B711" s="24"/>
      <c r="C711" s="24"/>
      <c r="D711" s="24"/>
      <c r="E711" s="24"/>
      <c r="F711" s="24"/>
      <c r="G711" s="24"/>
      <c r="H711" s="1"/>
      <c r="I711" s="25"/>
      <c r="J711" s="26"/>
      <c r="K711" s="14"/>
      <c r="L711" s="11"/>
    </row>
    <row r="712" spans="2:12" x14ac:dyDescent="0.2"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11"/>
    </row>
    <row r="713" spans="2:12" x14ac:dyDescent="0.2">
      <c r="B713" s="22"/>
      <c r="C713" s="22"/>
      <c r="D713" s="22"/>
      <c r="E713" s="22"/>
      <c r="F713" s="22"/>
      <c r="G713" s="22"/>
      <c r="H713" s="1"/>
      <c r="I713" s="25"/>
      <c r="J713" s="26"/>
      <c r="K713" s="14"/>
      <c r="L713" s="11"/>
    </row>
    <row r="714" spans="2:12" x14ac:dyDescent="0.2"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11"/>
    </row>
    <row r="715" spans="2:12" x14ac:dyDescent="0.2">
      <c r="B715" s="22"/>
      <c r="C715" s="22"/>
      <c r="D715" s="22"/>
      <c r="E715" s="22"/>
      <c r="F715" s="22"/>
      <c r="G715" s="22"/>
      <c r="H715" s="1"/>
      <c r="I715" s="25"/>
      <c r="J715" s="26"/>
      <c r="K715" s="14"/>
      <c r="L715" s="11"/>
    </row>
    <row r="716" spans="2:12" x14ac:dyDescent="0.2"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11"/>
    </row>
    <row r="717" spans="2:12" x14ac:dyDescent="0.2">
      <c r="B717" s="22"/>
      <c r="C717" s="22"/>
      <c r="D717" s="22"/>
      <c r="E717" s="22"/>
      <c r="F717" s="22"/>
      <c r="G717" s="22"/>
      <c r="H717" s="1"/>
      <c r="I717" s="25"/>
      <c r="J717" s="26"/>
      <c r="K717" s="14"/>
      <c r="L717" s="11"/>
    </row>
    <row r="718" spans="2:12" x14ac:dyDescent="0.2"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11"/>
    </row>
    <row r="719" spans="2:12" ht="14.25" customHeight="1" x14ac:dyDescent="0.2">
      <c r="B719" s="24"/>
      <c r="C719" s="24"/>
      <c r="D719" s="24"/>
      <c r="E719" s="24"/>
      <c r="F719" s="24"/>
      <c r="G719" s="24"/>
      <c r="H719" s="1"/>
      <c r="I719" s="25"/>
      <c r="J719" s="26"/>
      <c r="K719" s="14"/>
      <c r="L719" s="11"/>
    </row>
    <row r="720" spans="2:12" x14ac:dyDescent="0.2">
      <c r="B720" s="22"/>
      <c r="C720" s="22"/>
      <c r="D720" s="22"/>
      <c r="E720" s="22"/>
      <c r="F720" s="22"/>
      <c r="G720" s="22"/>
      <c r="H720" s="22"/>
      <c r="I720" s="22"/>
      <c r="J720" s="22"/>
      <c r="K720" s="22"/>
    </row>
    <row r="721" spans="1:12" ht="14.25" customHeight="1" x14ac:dyDescent="0.2">
      <c r="B721" s="24"/>
      <c r="C721" s="24"/>
      <c r="D721" s="24"/>
      <c r="E721" s="24"/>
      <c r="F721" s="24"/>
      <c r="G721" s="24"/>
      <c r="H721" s="1"/>
      <c r="I721" s="37"/>
      <c r="J721" s="26"/>
      <c r="K721" s="14"/>
    </row>
    <row r="722" spans="1:12" x14ac:dyDescent="0.2">
      <c r="B722" s="22"/>
      <c r="C722" s="22"/>
      <c r="D722" s="22"/>
      <c r="E722" s="22"/>
      <c r="F722" s="22"/>
      <c r="G722" s="22"/>
      <c r="H722" s="22"/>
      <c r="I722" s="22"/>
      <c r="J722" s="22"/>
      <c r="K722" s="22"/>
    </row>
    <row r="723" spans="1:12" x14ac:dyDescent="0.2">
      <c r="B723" s="22"/>
      <c r="C723" s="22"/>
      <c r="D723" s="22"/>
      <c r="E723" s="22"/>
      <c r="F723" s="22"/>
      <c r="G723" s="22"/>
      <c r="H723" s="1"/>
      <c r="I723" s="21"/>
      <c r="J723" s="21"/>
      <c r="K723" s="11"/>
    </row>
    <row r="724" spans="1:12" x14ac:dyDescent="0.2">
      <c r="B724" s="22"/>
      <c r="C724" s="22"/>
      <c r="D724" s="22"/>
      <c r="E724" s="22"/>
      <c r="F724" s="22"/>
      <c r="G724" s="22"/>
      <c r="H724" s="1"/>
      <c r="I724" s="21"/>
      <c r="J724" s="21"/>
      <c r="K724" s="11"/>
    </row>
    <row r="725" spans="1:12" x14ac:dyDescent="0.2">
      <c r="B725" s="5" t="s">
        <v>24</v>
      </c>
      <c r="C725" s="5"/>
      <c r="D725" s="5"/>
      <c r="E725" s="5"/>
      <c r="F725" s="7" t="s">
        <v>25</v>
      </c>
      <c r="G725" s="5"/>
      <c r="H725" s="5"/>
      <c r="K725" s="16">
        <f>SUM(K705,K707,K709,K711,K713,K715,K717,K719,K721)</f>
        <v>0</v>
      </c>
    </row>
    <row r="726" spans="1:12" x14ac:dyDescent="0.2">
      <c r="B726" s="5"/>
      <c r="C726" s="5"/>
      <c r="D726" s="5"/>
      <c r="E726" s="5"/>
      <c r="F726" s="7" t="s">
        <v>26</v>
      </c>
      <c r="G726" s="5"/>
      <c r="H726" s="5"/>
      <c r="K726" s="16">
        <v>0</v>
      </c>
    </row>
    <row r="727" spans="1:12" x14ac:dyDescent="0.2">
      <c r="B727" s="5"/>
      <c r="C727" s="5"/>
      <c r="D727" s="5"/>
      <c r="E727" s="5"/>
      <c r="F727" s="7" t="s">
        <v>27</v>
      </c>
      <c r="G727" s="5"/>
      <c r="H727" s="5"/>
      <c r="K727" s="16">
        <f>K725+K726</f>
        <v>0</v>
      </c>
    </row>
    <row r="728" spans="1:12" x14ac:dyDescent="0.2">
      <c r="B728" s="28" t="s">
        <v>28</v>
      </c>
      <c r="C728" s="28"/>
      <c r="D728" s="28"/>
      <c r="E728" s="5"/>
      <c r="F728" s="7" t="s">
        <v>29</v>
      </c>
      <c r="G728" s="5"/>
      <c r="H728" s="13">
        <v>0.16</v>
      </c>
      <c r="K728" s="17">
        <f>K727*0.16</f>
        <v>0</v>
      </c>
    </row>
    <row r="729" spans="1:12" x14ac:dyDescent="0.2">
      <c r="B729" s="5"/>
      <c r="C729" s="5"/>
      <c r="D729" s="5"/>
      <c r="E729" s="5"/>
      <c r="F729" s="7" t="s">
        <v>30</v>
      </c>
      <c r="G729" s="5"/>
      <c r="H729" s="5"/>
      <c r="K729" s="17">
        <f>K727*1.16</f>
        <v>0</v>
      </c>
    </row>
    <row r="733" spans="1:12" ht="13.5" customHeight="1" x14ac:dyDescent="0.2">
      <c r="A733" s="35" t="s">
        <v>34</v>
      </c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</row>
    <row r="734" spans="1:12" x14ac:dyDescent="0.2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</row>
    <row r="735" spans="1:12" ht="15" customHeight="1" x14ac:dyDescent="0.2">
      <c r="A735" s="36" t="s">
        <v>31</v>
      </c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</row>
    <row r="736" spans="1:12" ht="15" customHeight="1" x14ac:dyDescent="0.2"/>
    <row r="737" spans="2:15" x14ac:dyDescent="0.2">
      <c r="C737" s="2" t="s">
        <v>32</v>
      </c>
      <c r="D737" s="2"/>
      <c r="E737" s="2"/>
      <c r="F737" s="2"/>
      <c r="G737" s="2"/>
      <c r="H737" s="2"/>
      <c r="I737" s="2"/>
      <c r="J737" s="2"/>
      <c r="K737" s="2"/>
      <c r="L737" s="2"/>
    </row>
    <row r="738" spans="2:15" x14ac:dyDescent="0.2">
      <c r="D738" s="2"/>
      <c r="E738" s="2"/>
      <c r="F738" s="2"/>
      <c r="G738" s="2"/>
      <c r="H738" s="2"/>
      <c r="J738" s="2"/>
      <c r="K738" s="2"/>
    </row>
    <row r="739" spans="2:15" x14ac:dyDescent="0.2">
      <c r="C739" s="2"/>
      <c r="I739" s="2"/>
      <c r="O739" s="3" t="s">
        <v>35</v>
      </c>
    </row>
    <row r="741" spans="2:15" x14ac:dyDescent="0.2">
      <c r="K741" s="38"/>
    </row>
    <row r="742" spans="2:15" x14ac:dyDescent="0.2">
      <c r="K742" s="39"/>
    </row>
    <row r="745" spans="2:15" x14ac:dyDescent="0.2">
      <c r="C745" s="20" t="s">
        <v>0</v>
      </c>
      <c r="D745" s="20"/>
      <c r="E745" s="5"/>
      <c r="F745" s="6"/>
      <c r="H745" s="5" t="s">
        <v>1</v>
      </c>
      <c r="I745" s="4"/>
    </row>
    <row r="746" spans="2:15" ht="20.25" customHeight="1" x14ac:dyDescent="0.2"/>
    <row r="747" spans="2:15" ht="14.25" customHeight="1" x14ac:dyDescent="0.2">
      <c r="B747" s="5" t="s">
        <v>2</v>
      </c>
      <c r="C747" s="34" t="s">
        <v>3</v>
      </c>
      <c r="D747" s="34"/>
      <c r="E747" s="5"/>
      <c r="F747" s="5" t="s">
        <v>4</v>
      </c>
      <c r="G747" s="5"/>
      <c r="H747" s="8" t="s">
        <v>5</v>
      </c>
      <c r="J747" s="7" t="s">
        <v>6</v>
      </c>
      <c r="K747" s="19"/>
    </row>
    <row r="748" spans="2:15" x14ac:dyDescent="0.2">
      <c r="B748" s="5" t="s">
        <v>7</v>
      </c>
      <c r="C748" s="23" t="s">
        <v>8</v>
      </c>
      <c r="D748" s="23"/>
      <c r="E748" s="7" t="s">
        <v>9</v>
      </c>
      <c r="F748" s="5"/>
      <c r="G748" s="5"/>
      <c r="H748" s="5"/>
      <c r="I748" s="5"/>
      <c r="J748" s="7" t="s">
        <v>10</v>
      </c>
      <c r="K748" s="19"/>
      <c r="L748" s="5"/>
    </row>
    <row r="749" spans="2:15" x14ac:dyDescent="0.2">
      <c r="B749" s="28" t="s">
        <v>33</v>
      </c>
      <c r="C749" s="28"/>
      <c r="D749" s="6" t="s">
        <v>11</v>
      </c>
      <c r="E749" s="7" t="s">
        <v>12</v>
      </c>
      <c r="F749" s="8" t="s">
        <v>13</v>
      </c>
      <c r="G749" s="7" t="s">
        <v>14</v>
      </c>
      <c r="H749" s="9" t="s">
        <v>15</v>
      </c>
      <c r="I749" s="5"/>
      <c r="J749" s="5"/>
      <c r="K749" s="5"/>
      <c r="L749" s="5"/>
    </row>
    <row r="750" spans="2:15" ht="14.25" customHeight="1" x14ac:dyDescent="0.2">
      <c r="B750" s="5" t="s">
        <v>16</v>
      </c>
      <c r="C750" s="27" t="s">
        <v>17</v>
      </c>
      <c r="D750" s="27"/>
      <c r="E750" s="27"/>
      <c r="F750" s="27"/>
      <c r="G750" s="27"/>
      <c r="H750" s="5"/>
      <c r="I750" s="5"/>
      <c r="J750" s="5"/>
      <c r="K750" s="5"/>
      <c r="L750" s="5"/>
    </row>
    <row r="751" spans="2:15" x14ac:dyDescent="0.2">
      <c r="B751" s="5"/>
      <c r="C751" s="27" t="s">
        <v>18</v>
      </c>
      <c r="D751" s="27"/>
      <c r="E751" s="27"/>
      <c r="F751" s="27"/>
      <c r="G751" s="27"/>
      <c r="H751" s="5"/>
      <c r="I751" s="5"/>
      <c r="J751" s="5"/>
      <c r="K751" s="5"/>
      <c r="L751" s="5"/>
    </row>
    <row r="752" spans="2:15" ht="9" customHeight="1" x14ac:dyDescent="0.2">
      <c r="B752" s="5" t="s">
        <v>19</v>
      </c>
      <c r="C752" s="5"/>
      <c r="D752" s="5"/>
      <c r="E752" s="5"/>
      <c r="F752" s="5"/>
      <c r="G752" s="5"/>
      <c r="H752" s="5"/>
      <c r="I752" s="5"/>
      <c r="J752" s="5"/>
      <c r="K752" s="5"/>
      <c r="L752" s="5"/>
    </row>
    <row r="753" spans="2:12" x14ac:dyDescent="0.2">
      <c r="B753" s="29" t="s">
        <v>20</v>
      </c>
      <c r="C753" s="29"/>
      <c r="D753" s="29"/>
      <c r="E753" s="29"/>
      <c r="F753" s="29"/>
      <c r="G753" s="29"/>
      <c r="H753" s="10" t="s">
        <v>21</v>
      </c>
      <c r="I753" s="30" t="s">
        <v>22</v>
      </c>
      <c r="J753" s="31"/>
      <c r="K753" s="10" t="s">
        <v>23</v>
      </c>
      <c r="L753" s="12"/>
    </row>
    <row r="754" spans="2:12" ht="14.25" customHeight="1" x14ac:dyDescent="0.2">
      <c r="B754" s="32"/>
      <c r="C754" s="32"/>
      <c r="D754" s="32"/>
      <c r="E754" s="32"/>
      <c r="F754" s="32"/>
      <c r="G754" s="32"/>
      <c r="H754" s="1"/>
      <c r="I754" s="33"/>
      <c r="J754" s="33"/>
      <c r="K754" s="18"/>
      <c r="L754" s="11"/>
    </row>
    <row r="755" spans="2:12" x14ac:dyDescent="0.2"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11"/>
    </row>
    <row r="756" spans="2:12" x14ac:dyDescent="0.2">
      <c r="B756" s="22"/>
      <c r="C756" s="22"/>
      <c r="D756" s="22"/>
      <c r="E756" s="22"/>
      <c r="F756" s="22"/>
      <c r="G756" s="22"/>
      <c r="H756" s="1"/>
      <c r="I756" s="25"/>
      <c r="J756" s="26"/>
      <c r="K756" s="14"/>
      <c r="L756" s="11"/>
    </row>
    <row r="757" spans="2:12" x14ac:dyDescent="0.2"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11"/>
    </row>
    <row r="758" spans="2:12" x14ac:dyDescent="0.2">
      <c r="B758" s="22"/>
      <c r="C758" s="22"/>
      <c r="D758" s="22"/>
      <c r="E758" s="22"/>
      <c r="F758" s="22"/>
      <c r="G758" s="22"/>
      <c r="H758" s="1"/>
      <c r="I758" s="25"/>
      <c r="J758" s="26"/>
      <c r="K758" s="14"/>
      <c r="L758" s="11"/>
    </row>
    <row r="759" spans="2:12" x14ac:dyDescent="0.2"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11"/>
    </row>
    <row r="760" spans="2:12" ht="14.25" customHeight="1" x14ac:dyDescent="0.2">
      <c r="B760" s="24"/>
      <c r="C760" s="24"/>
      <c r="D760" s="24"/>
      <c r="E760" s="24"/>
      <c r="F760" s="24"/>
      <c r="G760" s="24"/>
      <c r="H760" s="1"/>
      <c r="I760" s="25"/>
      <c r="J760" s="26"/>
      <c r="K760" s="14"/>
      <c r="L760" s="11"/>
    </row>
    <row r="761" spans="2:12" x14ac:dyDescent="0.2"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11"/>
    </row>
    <row r="762" spans="2:12" x14ac:dyDescent="0.2">
      <c r="B762" s="22"/>
      <c r="C762" s="22"/>
      <c r="D762" s="22"/>
      <c r="E762" s="22"/>
      <c r="F762" s="22"/>
      <c r="G762" s="22"/>
      <c r="H762" s="1"/>
      <c r="I762" s="25"/>
      <c r="J762" s="26"/>
      <c r="K762" s="14"/>
      <c r="L762" s="11"/>
    </row>
    <row r="763" spans="2:12" x14ac:dyDescent="0.2"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11"/>
    </row>
    <row r="764" spans="2:12" x14ac:dyDescent="0.2">
      <c r="B764" s="22"/>
      <c r="C764" s="22"/>
      <c r="D764" s="22"/>
      <c r="E764" s="22"/>
      <c r="F764" s="22"/>
      <c r="G764" s="22"/>
      <c r="H764" s="1"/>
      <c r="I764" s="25"/>
      <c r="J764" s="26"/>
      <c r="K764" s="14"/>
      <c r="L764" s="11"/>
    </row>
    <row r="765" spans="2:12" x14ac:dyDescent="0.2"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11"/>
    </row>
    <row r="766" spans="2:12" x14ac:dyDescent="0.2">
      <c r="B766" s="22"/>
      <c r="C766" s="22"/>
      <c r="D766" s="22"/>
      <c r="E766" s="22"/>
      <c r="F766" s="22"/>
      <c r="G766" s="22"/>
      <c r="H766" s="1"/>
      <c r="I766" s="25"/>
      <c r="J766" s="26"/>
      <c r="K766" s="14"/>
      <c r="L766" s="11"/>
    </row>
    <row r="767" spans="2:12" x14ac:dyDescent="0.2"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11"/>
    </row>
    <row r="768" spans="2:12" ht="14.25" customHeight="1" x14ac:dyDescent="0.2">
      <c r="B768" s="24"/>
      <c r="C768" s="24"/>
      <c r="D768" s="24"/>
      <c r="E768" s="24"/>
      <c r="F768" s="24"/>
      <c r="G768" s="24"/>
      <c r="H768" s="1"/>
      <c r="I768" s="25"/>
      <c r="J768" s="26"/>
      <c r="K768" s="14"/>
      <c r="L768" s="11"/>
    </row>
    <row r="769" spans="1:12" x14ac:dyDescent="0.2">
      <c r="B769" s="22"/>
      <c r="C769" s="22"/>
      <c r="D769" s="22"/>
      <c r="E769" s="22"/>
      <c r="F769" s="22"/>
      <c r="G769" s="22"/>
      <c r="H769" s="22"/>
      <c r="I769" s="22"/>
      <c r="J769" s="22"/>
      <c r="K769" s="22"/>
    </row>
    <row r="770" spans="1:12" ht="14.25" customHeight="1" x14ac:dyDescent="0.2">
      <c r="B770" s="24"/>
      <c r="C770" s="24"/>
      <c r="D770" s="24"/>
      <c r="E770" s="24"/>
      <c r="F770" s="24"/>
      <c r="G770" s="24"/>
      <c r="H770" s="1"/>
      <c r="I770" s="37"/>
      <c r="J770" s="26"/>
      <c r="K770" s="14"/>
    </row>
    <row r="771" spans="1:12" x14ac:dyDescent="0.2">
      <c r="B771" s="22"/>
      <c r="C771" s="22"/>
      <c r="D771" s="22"/>
      <c r="E771" s="22"/>
      <c r="F771" s="22"/>
      <c r="G771" s="22"/>
      <c r="H771" s="22"/>
      <c r="I771" s="22"/>
      <c r="J771" s="22"/>
      <c r="K771" s="22"/>
    </row>
    <row r="772" spans="1:12" x14ac:dyDescent="0.2">
      <c r="B772" s="22"/>
      <c r="C772" s="22"/>
      <c r="D772" s="22"/>
      <c r="E772" s="22"/>
      <c r="F772" s="22"/>
      <c r="G772" s="22"/>
      <c r="H772" s="1"/>
      <c r="I772" s="21"/>
      <c r="J772" s="21"/>
      <c r="K772" s="11"/>
    </row>
    <row r="773" spans="1:12" x14ac:dyDescent="0.2">
      <c r="B773" s="22"/>
      <c r="C773" s="22"/>
      <c r="D773" s="22"/>
      <c r="E773" s="22"/>
      <c r="F773" s="22"/>
      <c r="G773" s="22"/>
      <c r="H773" s="1"/>
      <c r="I773" s="21"/>
      <c r="J773" s="21"/>
      <c r="K773" s="11"/>
    </row>
    <row r="774" spans="1:12" x14ac:dyDescent="0.2">
      <c r="B774" s="5" t="s">
        <v>24</v>
      </c>
      <c r="C774" s="5"/>
      <c r="D774" s="5"/>
      <c r="E774" s="5"/>
      <c r="F774" s="7" t="s">
        <v>25</v>
      </c>
      <c r="G774" s="5"/>
      <c r="H774" s="5"/>
      <c r="K774" s="16">
        <f>SUM(K754,K756,K758,K760,K762,K764,K766,K768,K770)</f>
        <v>0</v>
      </c>
    </row>
    <row r="775" spans="1:12" x14ac:dyDescent="0.2">
      <c r="B775" s="5"/>
      <c r="C775" s="5"/>
      <c r="D775" s="5"/>
      <c r="E775" s="5"/>
      <c r="F775" s="7" t="s">
        <v>26</v>
      </c>
      <c r="G775" s="5"/>
      <c r="H775" s="5"/>
      <c r="K775" s="16">
        <v>0</v>
      </c>
    </row>
    <row r="776" spans="1:12" x14ac:dyDescent="0.2">
      <c r="B776" s="5"/>
      <c r="C776" s="5"/>
      <c r="D776" s="5"/>
      <c r="E776" s="5"/>
      <c r="F776" s="7" t="s">
        <v>27</v>
      </c>
      <c r="G776" s="5"/>
      <c r="H776" s="5"/>
      <c r="K776" s="16">
        <f>K774+K775</f>
        <v>0</v>
      </c>
    </row>
    <row r="777" spans="1:12" x14ac:dyDescent="0.2">
      <c r="B777" s="28" t="s">
        <v>28</v>
      </c>
      <c r="C777" s="28"/>
      <c r="D777" s="28"/>
      <c r="E777" s="5"/>
      <c r="F777" s="7" t="s">
        <v>29</v>
      </c>
      <c r="G777" s="5"/>
      <c r="H777" s="13">
        <v>0.16</v>
      </c>
      <c r="K777" s="17">
        <f>K776*0.16</f>
        <v>0</v>
      </c>
    </row>
    <row r="778" spans="1:12" x14ac:dyDescent="0.2">
      <c r="B778" s="5"/>
      <c r="C778" s="5"/>
      <c r="D778" s="5"/>
      <c r="E778" s="5"/>
      <c r="F778" s="7" t="s">
        <v>30</v>
      </c>
      <c r="G778" s="5"/>
      <c r="H778" s="5"/>
      <c r="K778" s="17">
        <f>K776*1.16</f>
        <v>0</v>
      </c>
    </row>
    <row r="782" spans="1:12" ht="13.5" customHeight="1" x14ac:dyDescent="0.2">
      <c r="A782" s="35" t="s">
        <v>34</v>
      </c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</row>
    <row r="783" spans="1:12" x14ac:dyDescent="0.2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</row>
    <row r="784" spans="1:12" ht="15" customHeight="1" x14ac:dyDescent="0.2">
      <c r="A784" s="36" t="s">
        <v>31</v>
      </c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</row>
    <row r="785" spans="2:12" ht="15" customHeight="1" x14ac:dyDescent="0.2"/>
    <row r="786" spans="2:12" x14ac:dyDescent="0.2">
      <c r="C786" s="2" t="s">
        <v>32</v>
      </c>
      <c r="D786" s="2"/>
      <c r="E786" s="2"/>
      <c r="F786" s="2"/>
      <c r="G786" s="2"/>
      <c r="H786" s="2"/>
      <c r="I786" s="2"/>
      <c r="J786" s="2"/>
      <c r="K786" s="2"/>
      <c r="L786" s="2"/>
    </row>
    <row r="787" spans="2:12" x14ac:dyDescent="0.2">
      <c r="D787" s="2"/>
      <c r="E787" s="2"/>
      <c r="F787" s="2"/>
      <c r="G787" s="2"/>
      <c r="H787" s="2"/>
      <c r="J787" s="2"/>
      <c r="K787" s="2"/>
    </row>
    <row r="788" spans="2:12" x14ac:dyDescent="0.2">
      <c r="C788" s="2"/>
      <c r="I788" s="2"/>
    </row>
    <row r="790" spans="2:12" x14ac:dyDescent="0.2">
      <c r="K790" s="38"/>
    </row>
    <row r="791" spans="2:12" x14ac:dyDescent="0.2">
      <c r="K791" s="39"/>
    </row>
    <row r="794" spans="2:12" x14ac:dyDescent="0.2">
      <c r="C794" s="20" t="s">
        <v>0</v>
      </c>
      <c r="D794" s="20"/>
      <c r="E794" s="5"/>
      <c r="F794" s="6"/>
      <c r="H794" s="5" t="s">
        <v>1</v>
      </c>
      <c r="I794" s="4"/>
    </row>
    <row r="795" spans="2:12" ht="20.25" customHeight="1" x14ac:dyDescent="0.2"/>
    <row r="796" spans="2:12" ht="14.25" customHeight="1" x14ac:dyDescent="0.2">
      <c r="B796" s="5" t="s">
        <v>2</v>
      </c>
      <c r="C796" s="34" t="s">
        <v>3</v>
      </c>
      <c r="D796" s="34"/>
      <c r="E796" s="5"/>
      <c r="F796" s="5" t="s">
        <v>4</v>
      </c>
      <c r="G796" s="5"/>
      <c r="H796" s="8" t="s">
        <v>5</v>
      </c>
      <c r="J796" s="7" t="s">
        <v>6</v>
      </c>
      <c r="K796" s="19"/>
    </row>
    <row r="797" spans="2:12" x14ac:dyDescent="0.2">
      <c r="B797" s="5" t="s">
        <v>7</v>
      </c>
      <c r="C797" s="23" t="s">
        <v>8</v>
      </c>
      <c r="D797" s="23"/>
      <c r="E797" s="7" t="s">
        <v>9</v>
      </c>
      <c r="F797" s="5"/>
      <c r="G797" s="5"/>
      <c r="H797" s="5"/>
      <c r="I797" s="5"/>
      <c r="J797" s="7" t="s">
        <v>10</v>
      </c>
      <c r="K797" s="19"/>
      <c r="L797" s="5"/>
    </row>
    <row r="798" spans="2:12" x14ac:dyDescent="0.2">
      <c r="B798" s="28" t="s">
        <v>33</v>
      </c>
      <c r="C798" s="28"/>
      <c r="D798" s="6" t="s">
        <v>11</v>
      </c>
      <c r="E798" s="7" t="s">
        <v>12</v>
      </c>
      <c r="F798" s="8" t="s">
        <v>13</v>
      </c>
      <c r="G798" s="7" t="s">
        <v>14</v>
      </c>
      <c r="H798" s="9" t="s">
        <v>15</v>
      </c>
      <c r="I798" s="5"/>
      <c r="J798" s="5"/>
      <c r="K798" s="5"/>
      <c r="L798" s="5"/>
    </row>
    <row r="799" spans="2:12" ht="14.25" customHeight="1" x14ac:dyDescent="0.2">
      <c r="B799" s="5" t="s">
        <v>16</v>
      </c>
      <c r="C799" s="27" t="s">
        <v>17</v>
      </c>
      <c r="D799" s="27"/>
      <c r="E799" s="27"/>
      <c r="F799" s="27"/>
      <c r="G799" s="27"/>
      <c r="H799" s="5"/>
      <c r="I799" s="5"/>
      <c r="J799" s="5"/>
      <c r="K799" s="5"/>
      <c r="L799" s="5"/>
    </row>
    <row r="800" spans="2:12" x14ac:dyDescent="0.2">
      <c r="B800" s="5"/>
      <c r="C800" s="27" t="s">
        <v>18</v>
      </c>
      <c r="D800" s="27"/>
      <c r="E800" s="27"/>
      <c r="F800" s="27"/>
      <c r="G800" s="27"/>
      <c r="H800" s="5"/>
      <c r="I800" s="5"/>
      <c r="J800" s="5"/>
      <c r="K800" s="5"/>
      <c r="L800" s="5"/>
    </row>
    <row r="801" spans="2:12" ht="9" customHeight="1" x14ac:dyDescent="0.2">
      <c r="B801" s="5" t="s">
        <v>19</v>
      </c>
      <c r="C801" s="5"/>
      <c r="D801" s="5"/>
      <c r="E801" s="5"/>
      <c r="F801" s="5"/>
      <c r="G801" s="5"/>
      <c r="H801" s="5"/>
      <c r="I801" s="5"/>
      <c r="J801" s="5"/>
      <c r="K801" s="5"/>
      <c r="L801" s="5"/>
    </row>
    <row r="802" spans="2:12" x14ac:dyDescent="0.2">
      <c r="B802" s="29" t="s">
        <v>20</v>
      </c>
      <c r="C802" s="29"/>
      <c r="D802" s="29"/>
      <c r="E802" s="29"/>
      <c r="F802" s="29"/>
      <c r="G802" s="29"/>
      <c r="H802" s="10" t="s">
        <v>21</v>
      </c>
      <c r="I802" s="30" t="s">
        <v>22</v>
      </c>
      <c r="J802" s="31"/>
      <c r="K802" s="10" t="s">
        <v>23</v>
      </c>
      <c r="L802" s="12"/>
    </row>
    <row r="803" spans="2:12" ht="14.25" customHeight="1" x14ac:dyDescent="0.2">
      <c r="B803" s="32"/>
      <c r="C803" s="32"/>
      <c r="D803" s="32"/>
      <c r="E803" s="32"/>
      <c r="F803" s="32"/>
      <c r="G803" s="32"/>
      <c r="H803" s="1"/>
      <c r="I803" s="33"/>
      <c r="J803" s="33"/>
      <c r="K803" s="18"/>
      <c r="L803" s="11"/>
    </row>
    <row r="804" spans="2:12" x14ac:dyDescent="0.2"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11"/>
    </row>
    <row r="805" spans="2:12" x14ac:dyDescent="0.2">
      <c r="B805" s="22"/>
      <c r="C805" s="22"/>
      <c r="D805" s="22"/>
      <c r="E805" s="22"/>
      <c r="F805" s="22"/>
      <c r="G805" s="22"/>
      <c r="H805" s="1"/>
      <c r="I805" s="25"/>
      <c r="J805" s="26"/>
      <c r="K805" s="14"/>
      <c r="L805" s="11"/>
    </row>
    <row r="806" spans="2:12" x14ac:dyDescent="0.2"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11"/>
    </row>
    <row r="807" spans="2:12" x14ac:dyDescent="0.2">
      <c r="B807" s="22"/>
      <c r="C807" s="22"/>
      <c r="D807" s="22"/>
      <c r="E807" s="22"/>
      <c r="F807" s="22"/>
      <c r="G807" s="22"/>
      <c r="H807" s="1"/>
      <c r="I807" s="25"/>
      <c r="J807" s="26"/>
      <c r="K807" s="14"/>
      <c r="L807" s="11"/>
    </row>
    <row r="808" spans="2:12" x14ac:dyDescent="0.2"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11"/>
    </row>
    <row r="809" spans="2:12" ht="14.25" customHeight="1" x14ac:dyDescent="0.2">
      <c r="B809" s="24"/>
      <c r="C809" s="24"/>
      <c r="D809" s="24"/>
      <c r="E809" s="24"/>
      <c r="F809" s="24"/>
      <c r="G809" s="24"/>
      <c r="H809" s="1"/>
      <c r="I809" s="25"/>
      <c r="J809" s="26"/>
      <c r="K809" s="14"/>
      <c r="L809" s="11"/>
    </row>
    <row r="810" spans="2:12" x14ac:dyDescent="0.2"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11"/>
    </row>
    <row r="811" spans="2:12" x14ac:dyDescent="0.2">
      <c r="B811" s="22"/>
      <c r="C811" s="22"/>
      <c r="D811" s="22"/>
      <c r="E811" s="22"/>
      <c r="F811" s="22"/>
      <c r="G811" s="22"/>
      <c r="H811" s="1"/>
      <c r="I811" s="25"/>
      <c r="J811" s="26"/>
      <c r="K811" s="14"/>
      <c r="L811" s="11"/>
    </row>
    <row r="812" spans="2:12" x14ac:dyDescent="0.2"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11"/>
    </row>
    <row r="813" spans="2:12" x14ac:dyDescent="0.2">
      <c r="B813" s="22"/>
      <c r="C813" s="22"/>
      <c r="D813" s="22"/>
      <c r="E813" s="22"/>
      <c r="F813" s="22"/>
      <c r="G813" s="22"/>
      <c r="H813" s="1"/>
      <c r="I813" s="25"/>
      <c r="J813" s="26"/>
      <c r="K813" s="14"/>
      <c r="L813" s="11"/>
    </row>
    <row r="814" spans="2:12" x14ac:dyDescent="0.2"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11"/>
    </row>
    <row r="815" spans="2:12" x14ac:dyDescent="0.2">
      <c r="B815" s="22"/>
      <c r="C815" s="22"/>
      <c r="D815" s="22"/>
      <c r="E815" s="22"/>
      <c r="F815" s="22"/>
      <c r="G815" s="22"/>
      <c r="H815" s="1"/>
      <c r="I815" s="25"/>
      <c r="J815" s="26"/>
      <c r="K815" s="14"/>
      <c r="L815" s="11"/>
    </row>
    <row r="816" spans="2:12" x14ac:dyDescent="0.2"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11"/>
    </row>
    <row r="817" spans="1:12" ht="14.25" customHeight="1" x14ac:dyDescent="0.2">
      <c r="B817" s="24"/>
      <c r="C817" s="24"/>
      <c r="D817" s="24"/>
      <c r="E817" s="24"/>
      <c r="F817" s="24"/>
      <c r="G817" s="24"/>
      <c r="H817" s="1"/>
      <c r="I817" s="25"/>
      <c r="J817" s="26"/>
      <c r="K817" s="14"/>
      <c r="L817" s="11"/>
    </row>
    <row r="818" spans="1:12" x14ac:dyDescent="0.2">
      <c r="B818" s="22"/>
      <c r="C818" s="22"/>
      <c r="D818" s="22"/>
      <c r="E818" s="22"/>
      <c r="F818" s="22"/>
      <c r="G818" s="22"/>
      <c r="H818" s="22"/>
      <c r="I818" s="22"/>
      <c r="J818" s="22"/>
      <c r="K818" s="22"/>
    </row>
    <row r="819" spans="1:12" ht="14.25" customHeight="1" x14ac:dyDescent="0.2">
      <c r="B819" s="24"/>
      <c r="C819" s="24"/>
      <c r="D819" s="24"/>
      <c r="E819" s="24"/>
      <c r="F819" s="24"/>
      <c r="G819" s="24"/>
      <c r="H819" s="1"/>
      <c r="I819" s="37"/>
      <c r="J819" s="26"/>
      <c r="K819" s="14"/>
    </row>
    <row r="820" spans="1:12" x14ac:dyDescent="0.2">
      <c r="B820" s="22"/>
      <c r="C820" s="22"/>
      <c r="D820" s="22"/>
      <c r="E820" s="22"/>
      <c r="F820" s="22"/>
      <c r="G820" s="22"/>
      <c r="H820" s="22"/>
      <c r="I820" s="22"/>
      <c r="J820" s="22"/>
      <c r="K820" s="22"/>
    </row>
    <row r="821" spans="1:12" x14ac:dyDescent="0.2">
      <c r="B821" s="22"/>
      <c r="C821" s="22"/>
      <c r="D821" s="22"/>
      <c r="E821" s="22"/>
      <c r="F821" s="22"/>
      <c r="G821" s="22"/>
      <c r="H821" s="1"/>
      <c r="I821" s="21"/>
      <c r="J821" s="21"/>
      <c r="K821" s="11"/>
    </row>
    <row r="822" spans="1:12" x14ac:dyDescent="0.2">
      <c r="B822" s="22"/>
      <c r="C822" s="22"/>
      <c r="D822" s="22"/>
      <c r="E822" s="22"/>
      <c r="F822" s="22"/>
      <c r="G822" s="22"/>
      <c r="H822" s="1"/>
      <c r="I822" s="21"/>
      <c r="J822" s="21"/>
      <c r="K822" s="11"/>
    </row>
    <row r="823" spans="1:12" x14ac:dyDescent="0.2">
      <c r="B823" s="5" t="s">
        <v>24</v>
      </c>
      <c r="C823" s="5"/>
      <c r="D823" s="5"/>
      <c r="E823" s="5"/>
      <c r="F823" s="7" t="s">
        <v>25</v>
      </c>
      <c r="G823" s="5"/>
      <c r="H823" s="5"/>
      <c r="K823" s="16">
        <f>SUM(K803,K805,K807,K809,K811,K813,K815,K817,K819)</f>
        <v>0</v>
      </c>
    </row>
    <row r="824" spans="1:12" x14ac:dyDescent="0.2">
      <c r="B824" s="5"/>
      <c r="C824" s="5"/>
      <c r="D824" s="5"/>
      <c r="E824" s="5"/>
      <c r="F824" s="7" t="s">
        <v>26</v>
      </c>
      <c r="G824" s="5"/>
      <c r="H824" s="5"/>
      <c r="K824" s="16">
        <v>0</v>
      </c>
    </row>
    <row r="825" spans="1:12" x14ac:dyDescent="0.2">
      <c r="B825" s="5"/>
      <c r="C825" s="5"/>
      <c r="D825" s="5"/>
      <c r="E825" s="5"/>
      <c r="F825" s="7" t="s">
        <v>27</v>
      </c>
      <c r="G825" s="5"/>
      <c r="H825" s="5"/>
      <c r="K825" s="16">
        <f>K823+K824</f>
        <v>0</v>
      </c>
    </row>
    <row r="826" spans="1:12" x14ac:dyDescent="0.2">
      <c r="B826" s="28" t="s">
        <v>28</v>
      </c>
      <c r="C826" s="28"/>
      <c r="D826" s="28"/>
      <c r="E826" s="5"/>
      <c r="F826" s="7" t="s">
        <v>29</v>
      </c>
      <c r="G826" s="5"/>
      <c r="H826" s="13">
        <v>0.16</v>
      </c>
      <c r="K826" s="17">
        <f>K825*0.16</f>
        <v>0</v>
      </c>
    </row>
    <row r="827" spans="1:12" x14ac:dyDescent="0.2">
      <c r="B827" s="5"/>
      <c r="C827" s="5"/>
      <c r="D827" s="5"/>
      <c r="E827" s="5"/>
      <c r="F827" s="7" t="s">
        <v>30</v>
      </c>
      <c r="G827" s="5"/>
      <c r="H827" s="5"/>
      <c r="K827" s="17">
        <f>K825*1.16</f>
        <v>0</v>
      </c>
    </row>
    <row r="831" spans="1:12" ht="13.5" customHeight="1" x14ac:dyDescent="0.2">
      <c r="A831" s="35" t="s">
        <v>34</v>
      </c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</row>
    <row r="832" spans="1:12" x14ac:dyDescent="0.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</row>
    <row r="833" spans="1:12" ht="15" customHeight="1" x14ac:dyDescent="0.2">
      <c r="A833" s="36" t="s">
        <v>31</v>
      </c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</row>
    <row r="834" spans="1:12" ht="15" customHeight="1" x14ac:dyDescent="0.2"/>
    <row r="835" spans="1:12" x14ac:dyDescent="0.2">
      <c r="C835" s="2" t="s">
        <v>32</v>
      </c>
      <c r="D835" s="2"/>
      <c r="E835" s="2"/>
      <c r="F835" s="2"/>
      <c r="G835" s="2"/>
      <c r="H835" s="2"/>
      <c r="I835" s="2"/>
      <c r="J835" s="2"/>
      <c r="K835" s="2"/>
      <c r="L835" s="2"/>
    </row>
    <row r="836" spans="1:12" x14ac:dyDescent="0.2">
      <c r="D836" s="2"/>
      <c r="E836" s="2"/>
      <c r="F836" s="2"/>
      <c r="G836" s="2"/>
      <c r="H836" s="2"/>
      <c r="J836" s="2"/>
      <c r="K836" s="2"/>
    </row>
    <row r="837" spans="1:12" x14ac:dyDescent="0.2">
      <c r="C837" s="2"/>
      <c r="I837" s="2"/>
    </row>
    <row r="839" spans="1:12" x14ac:dyDescent="0.2">
      <c r="K839" s="38"/>
    </row>
    <row r="840" spans="1:12" x14ac:dyDescent="0.2">
      <c r="K840" s="39"/>
    </row>
    <row r="843" spans="1:12" x14ac:dyDescent="0.2">
      <c r="C843" s="20" t="s">
        <v>0</v>
      </c>
      <c r="D843" s="20"/>
      <c r="E843" s="5"/>
      <c r="F843" s="6"/>
      <c r="H843" s="5" t="s">
        <v>1</v>
      </c>
      <c r="I843" s="4"/>
    </row>
    <row r="844" spans="1:12" ht="20.25" customHeight="1" x14ac:dyDescent="0.2"/>
    <row r="845" spans="1:12" ht="14.25" customHeight="1" x14ac:dyDescent="0.2">
      <c r="B845" s="5" t="s">
        <v>2</v>
      </c>
      <c r="C845" s="34" t="s">
        <v>3</v>
      </c>
      <c r="D845" s="34"/>
      <c r="E845" s="5"/>
      <c r="F845" s="5" t="s">
        <v>4</v>
      </c>
      <c r="G845" s="5"/>
      <c r="H845" s="8" t="s">
        <v>5</v>
      </c>
      <c r="J845" s="7" t="s">
        <v>6</v>
      </c>
      <c r="K845" s="19"/>
    </row>
    <row r="846" spans="1:12" x14ac:dyDescent="0.2">
      <c r="B846" s="5" t="s">
        <v>7</v>
      </c>
      <c r="C846" s="23" t="s">
        <v>8</v>
      </c>
      <c r="D846" s="23"/>
      <c r="E846" s="7" t="s">
        <v>9</v>
      </c>
      <c r="F846" s="5"/>
      <c r="G846" s="5"/>
      <c r="H846" s="5"/>
      <c r="I846" s="5"/>
      <c r="J846" s="7" t="s">
        <v>10</v>
      </c>
      <c r="K846" s="19"/>
      <c r="L846" s="5"/>
    </row>
    <row r="847" spans="1:12" x14ac:dyDescent="0.2">
      <c r="B847" s="28" t="s">
        <v>33</v>
      </c>
      <c r="C847" s="28"/>
      <c r="D847" s="6" t="s">
        <v>11</v>
      </c>
      <c r="E847" s="7" t="s">
        <v>12</v>
      </c>
      <c r="F847" s="8" t="s">
        <v>13</v>
      </c>
      <c r="G847" s="7" t="s">
        <v>14</v>
      </c>
      <c r="H847" s="9" t="s">
        <v>15</v>
      </c>
      <c r="I847" s="5"/>
      <c r="J847" s="5"/>
      <c r="K847" s="5"/>
      <c r="L847" s="5"/>
    </row>
    <row r="848" spans="1:12" ht="14.25" customHeight="1" x14ac:dyDescent="0.2">
      <c r="B848" s="5" t="s">
        <v>16</v>
      </c>
      <c r="C848" s="27" t="s">
        <v>17</v>
      </c>
      <c r="D848" s="27"/>
      <c r="E848" s="27"/>
      <c r="F848" s="27"/>
      <c r="G848" s="27"/>
      <c r="H848" s="5"/>
      <c r="I848" s="5"/>
      <c r="J848" s="5"/>
      <c r="K848" s="5"/>
      <c r="L848" s="5"/>
    </row>
    <row r="849" spans="2:12" x14ac:dyDescent="0.2">
      <c r="B849" s="5"/>
      <c r="C849" s="27" t="s">
        <v>18</v>
      </c>
      <c r="D849" s="27"/>
      <c r="E849" s="27"/>
      <c r="F849" s="27"/>
      <c r="G849" s="27"/>
      <c r="H849" s="5"/>
      <c r="I849" s="5"/>
      <c r="J849" s="5"/>
      <c r="K849" s="5"/>
      <c r="L849" s="5"/>
    </row>
    <row r="850" spans="2:12" ht="9" customHeight="1" x14ac:dyDescent="0.2">
      <c r="B850" s="5" t="s">
        <v>19</v>
      </c>
      <c r="C850" s="5"/>
      <c r="D850" s="5"/>
      <c r="E850" s="5"/>
      <c r="F850" s="5"/>
      <c r="G850" s="5"/>
      <c r="H850" s="5"/>
      <c r="I850" s="5"/>
      <c r="J850" s="5"/>
      <c r="K850" s="5"/>
      <c r="L850" s="5"/>
    </row>
    <row r="851" spans="2:12" x14ac:dyDescent="0.2">
      <c r="B851" s="29" t="s">
        <v>20</v>
      </c>
      <c r="C851" s="29"/>
      <c r="D851" s="29"/>
      <c r="E851" s="29"/>
      <c r="F851" s="29"/>
      <c r="G851" s="29"/>
      <c r="H851" s="10" t="s">
        <v>21</v>
      </c>
      <c r="I851" s="30" t="s">
        <v>22</v>
      </c>
      <c r="J851" s="31"/>
      <c r="K851" s="10" t="s">
        <v>23</v>
      </c>
      <c r="L851" s="12"/>
    </row>
    <row r="852" spans="2:12" ht="14.25" customHeight="1" x14ac:dyDescent="0.2">
      <c r="B852" s="32"/>
      <c r="C852" s="32"/>
      <c r="D852" s="32"/>
      <c r="E852" s="32"/>
      <c r="F852" s="32"/>
      <c r="G852" s="32"/>
      <c r="H852" s="1"/>
      <c r="I852" s="33"/>
      <c r="J852" s="33"/>
      <c r="K852" s="18"/>
      <c r="L852" s="11"/>
    </row>
    <row r="853" spans="2:12" x14ac:dyDescent="0.2"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11"/>
    </row>
    <row r="854" spans="2:12" x14ac:dyDescent="0.2">
      <c r="B854" s="22"/>
      <c r="C854" s="22"/>
      <c r="D854" s="22"/>
      <c r="E854" s="22"/>
      <c r="F854" s="22"/>
      <c r="G854" s="22"/>
      <c r="H854" s="1"/>
      <c r="I854" s="25"/>
      <c r="J854" s="26"/>
      <c r="K854" s="14"/>
      <c r="L854" s="11"/>
    </row>
    <row r="855" spans="2:12" x14ac:dyDescent="0.2"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11"/>
    </row>
    <row r="856" spans="2:12" x14ac:dyDescent="0.2">
      <c r="B856" s="22"/>
      <c r="C856" s="22"/>
      <c r="D856" s="22"/>
      <c r="E856" s="22"/>
      <c r="F856" s="22"/>
      <c r="G856" s="22"/>
      <c r="H856" s="1"/>
      <c r="I856" s="25"/>
      <c r="J856" s="26"/>
      <c r="K856" s="14"/>
      <c r="L856" s="11"/>
    </row>
    <row r="857" spans="2:12" x14ac:dyDescent="0.2"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11"/>
    </row>
    <row r="858" spans="2:12" ht="14.25" customHeight="1" x14ac:dyDescent="0.2">
      <c r="B858" s="24"/>
      <c r="C858" s="24"/>
      <c r="D858" s="24"/>
      <c r="E858" s="24"/>
      <c r="F858" s="24"/>
      <c r="G858" s="24"/>
      <c r="H858" s="1"/>
      <c r="I858" s="25"/>
      <c r="J858" s="26"/>
      <c r="K858" s="14"/>
      <c r="L858" s="11"/>
    </row>
    <row r="859" spans="2:12" x14ac:dyDescent="0.2"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11"/>
    </row>
    <row r="860" spans="2:12" x14ac:dyDescent="0.2">
      <c r="B860" s="22"/>
      <c r="C860" s="22"/>
      <c r="D860" s="22"/>
      <c r="E860" s="22"/>
      <c r="F860" s="22"/>
      <c r="G860" s="22"/>
      <c r="H860" s="1"/>
      <c r="I860" s="25"/>
      <c r="J860" s="26"/>
      <c r="K860" s="14"/>
      <c r="L860" s="11"/>
    </row>
    <row r="861" spans="2:12" x14ac:dyDescent="0.2"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11"/>
    </row>
    <row r="862" spans="2:12" x14ac:dyDescent="0.2">
      <c r="B862" s="22"/>
      <c r="C862" s="22"/>
      <c r="D862" s="22"/>
      <c r="E862" s="22"/>
      <c r="F862" s="22"/>
      <c r="G862" s="22"/>
      <c r="H862" s="1"/>
      <c r="I862" s="25"/>
      <c r="J862" s="26"/>
      <c r="K862" s="14"/>
      <c r="L862" s="11"/>
    </row>
    <row r="863" spans="2:12" x14ac:dyDescent="0.2"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11"/>
    </row>
    <row r="864" spans="2:12" x14ac:dyDescent="0.2">
      <c r="B864" s="22"/>
      <c r="C864" s="22"/>
      <c r="D864" s="22"/>
      <c r="E864" s="22"/>
      <c r="F864" s="22"/>
      <c r="G864" s="22"/>
      <c r="H864" s="1"/>
      <c r="I864" s="25"/>
      <c r="J864" s="26"/>
      <c r="K864" s="14"/>
      <c r="L864" s="11"/>
    </row>
    <row r="865" spans="1:12" x14ac:dyDescent="0.2"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11"/>
    </row>
    <row r="866" spans="1:12" ht="14.25" customHeight="1" x14ac:dyDescent="0.2">
      <c r="B866" s="24"/>
      <c r="C866" s="24"/>
      <c r="D866" s="24"/>
      <c r="E866" s="24"/>
      <c r="F866" s="24"/>
      <c r="G866" s="24"/>
      <c r="H866" s="1"/>
      <c r="I866" s="25"/>
      <c r="J866" s="26"/>
      <c r="K866" s="14"/>
      <c r="L866" s="11"/>
    </row>
    <row r="867" spans="1:12" x14ac:dyDescent="0.2">
      <c r="B867" s="22"/>
      <c r="C867" s="22"/>
      <c r="D867" s="22"/>
      <c r="E867" s="22"/>
      <c r="F867" s="22"/>
      <c r="G867" s="22"/>
      <c r="H867" s="22"/>
      <c r="I867" s="22"/>
      <c r="J867" s="22"/>
      <c r="K867" s="22"/>
    </row>
    <row r="868" spans="1:12" ht="14.25" customHeight="1" x14ac:dyDescent="0.2">
      <c r="B868" s="24"/>
      <c r="C868" s="24"/>
      <c r="D868" s="24"/>
      <c r="E868" s="24"/>
      <c r="F868" s="24"/>
      <c r="G868" s="24"/>
      <c r="H868" s="1"/>
      <c r="I868" s="37"/>
      <c r="J868" s="26"/>
      <c r="K868" s="14"/>
    </row>
    <row r="869" spans="1:12" x14ac:dyDescent="0.2">
      <c r="B869" s="22"/>
      <c r="C869" s="22"/>
      <c r="D869" s="22"/>
      <c r="E869" s="22"/>
      <c r="F869" s="22"/>
      <c r="G869" s="22"/>
      <c r="H869" s="22"/>
      <c r="I869" s="22"/>
      <c r="J869" s="22"/>
      <c r="K869" s="22"/>
    </row>
    <row r="870" spans="1:12" x14ac:dyDescent="0.2">
      <c r="B870" s="22"/>
      <c r="C870" s="22"/>
      <c r="D870" s="22"/>
      <c r="E870" s="22"/>
      <c r="F870" s="22"/>
      <c r="G870" s="22"/>
      <c r="H870" s="1"/>
      <c r="I870" s="21"/>
      <c r="J870" s="21"/>
      <c r="K870" s="11"/>
    </row>
    <row r="871" spans="1:12" x14ac:dyDescent="0.2">
      <c r="B871" s="22"/>
      <c r="C871" s="22"/>
      <c r="D871" s="22"/>
      <c r="E871" s="22"/>
      <c r="F871" s="22"/>
      <c r="G871" s="22"/>
      <c r="H871" s="1"/>
      <c r="I871" s="21"/>
      <c r="J871" s="21"/>
      <c r="K871" s="11"/>
    </row>
    <row r="872" spans="1:12" x14ac:dyDescent="0.2">
      <c r="B872" s="5" t="s">
        <v>24</v>
      </c>
      <c r="C872" s="5"/>
      <c r="D872" s="5"/>
      <c r="E872" s="5"/>
      <c r="F872" s="7" t="s">
        <v>25</v>
      </c>
      <c r="G872" s="5"/>
      <c r="H872" s="5"/>
      <c r="K872" s="16">
        <f>SUM(K852,K854,K856,K858,K860,K862,K864,K866,K868)</f>
        <v>0</v>
      </c>
    </row>
    <row r="873" spans="1:12" x14ac:dyDescent="0.2">
      <c r="B873" s="5"/>
      <c r="C873" s="5"/>
      <c r="D873" s="5"/>
      <c r="E873" s="5"/>
      <c r="F873" s="7" t="s">
        <v>26</v>
      </c>
      <c r="G873" s="5"/>
      <c r="H873" s="5"/>
      <c r="K873" s="16">
        <v>0</v>
      </c>
    </row>
    <row r="874" spans="1:12" x14ac:dyDescent="0.2">
      <c r="B874" s="5"/>
      <c r="C874" s="5"/>
      <c r="D874" s="5"/>
      <c r="E874" s="5"/>
      <c r="F874" s="7" t="s">
        <v>27</v>
      </c>
      <c r="G874" s="5"/>
      <c r="H874" s="5"/>
      <c r="K874" s="16">
        <f>K872+K873</f>
        <v>0</v>
      </c>
    </row>
    <row r="875" spans="1:12" x14ac:dyDescent="0.2">
      <c r="B875" s="28" t="s">
        <v>28</v>
      </c>
      <c r="C875" s="28"/>
      <c r="D875" s="28"/>
      <c r="E875" s="5"/>
      <c r="F875" s="7" t="s">
        <v>29</v>
      </c>
      <c r="G875" s="5"/>
      <c r="H875" s="13">
        <v>0.16</v>
      </c>
      <c r="K875" s="17">
        <f>K874*0.16</f>
        <v>0</v>
      </c>
    </row>
    <row r="876" spans="1:12" x14ac:dyDescent="0.2">
      <c r="B876" s="5"/>
      <c r="C876" s="5"/>
      <c r="D876" s="5"/>
      <c r="E876" s="5"/>
      <c r="F876" s="7" t="s">
        <v>30</v>
      </c>
      <c r="G876" s="5"/>
      <c r="H876" s="5"/>
      <c r="K876" s="17">
        <f>K874*1.16</f>
        <v>0</v>
      </c>
    </row>
    <row r="880" spans="1:12" ht="13.5" customHeight="1" x14ac:dyDescent="0.2">
      <c r="A880" s="35" t="s">
        <v>34</v>
      </c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</row>
    <row r="881" spans="1:12" x14ac:dyDescent="0.2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</row>
    <row r="882" spans="1:12" ht="15" customHeight="1" x14ac:dyDescent="0.2">
      <c r="A882" s="36" t="s">
        <v>31</v>
      </c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</row>
    <row r="883" spans="1:12" ht="15" customHeight="1" x14ac:dyDescent="0.2"/>
    <row r="884" spans="1:12" x14ac:dyDescent="0.2">
      <c r="C884" s="2" t="s">
        <v>32</v>
      </c>
      <c r="D884" s="2"/>
      <c r="E884" s="2"/>
      <c r="F884" s="2"/>
      <c r="G884" s="2"/>
      <c r="H884" s="2"/>
      <c r="I884" s="2"/>
      <c r="J884" s="2"/>
      <c r="K884" s="2"/>
      <c r="L884" s="2"/>
    </row>
    <row r="885" spans="1:12" x14ac:dyDescent="0.2">
      <c r="D885" s="2"/>
      <c r="E885" s="2"/>
      <c r="F885" s="2"/>
      <c r="G885" s="2"/>
      <c r="H885" s="2"/>
      <c r="J885" s="2"/>
      <c r="K885" s="2"/>
    </row>
    <row r="886" spans="1:12" x14ac:dyDescent="0.2">
      <c r="C886" s="2"/>
      <c r="I886" s="2"/>
    </row>
    <row r="888" spans="1:12" x14ac:dyDescent="0.2">
      <c r="K888" s="38"/>
    </row>
    <row r="889" spans="1:12" x14ac:dyDescent="0.2">
      <c r="K889" s="39"/>
    </row>
    <row r="892" spans="1:12" x14ac:dyDescent="0.2">
      <c r="C892" s="20" t="s">
        <v>0</v>
      </c>
      <c r="D892" s="20"/>
      <c r="E892" s="5"/>
      <c r="F892" s="6"/>
      <c r="H892" s="5" t="s">
        <v>1</v>
      </c>
      <c r="I892" s="4"/>
    </row>
    <row r="893" spans="1:12" ht="20.25" customHeight="1" x14ac:dyDescent="0.2"/>
    <row r="894" spans="1:12" ht="14.25" customHeight="1" x14ac:dyDescent="0.2">
      <c r="B894" s="5" t="s">
        <v>2</v>
      </c>
      <c r="C894" s="34" t="s">
        <v>3</v>
      </c>
      <c r="D894" s="34"/>
      <c r="E894" s="5"/>
      <c r="F894" s="5" t="s">
        <v>4</v>
      </c>
      <c r="G894" s="5"/>
      <c r="H894" s="8" t="s">
        <v>5</v>
      </c>
      <c r="J894" s="7" t="s">
        <v>6</v>
      </c>
      <c r="K894" s="19"/>
    </row>
    <row r="895" spans="1:12" x14ac:dyDescent="0.2">
      <c r="B895" s="5" t="s">
        <v>7</v>
      </c>
      <c r="C895" s="23" t="s">
        <v>8</v>
      </c>
      <c r="D895" s="23"/>
      <c r="E895" s="7" t="s">
        <v>9</v>
      </c>
      <c r="F895" s="5"/>
      <c r="G895" s="5"/>
      <c r="H895" s="5"/>
      <c r="I895" s="5"/>
      <c r="J895" s="7" t="s">
        <v>10</v>
      </c>
      <c r="K895" s="19"/>
      <c r="L895" s="5"/>
    </row>
    <row r="896" spans="1:12" x14ac:dyDescent="0.2">
      <c r="B896" s="28" t="s">
        <v>33</v>
      </c>
      <c r="C896" s="28"/>
      <c r="D896" s="6" t="s">
        <v>11</v>
      </c>
      <c r="E896" s="7" t="s">
        <v>12</v>
      </c>
      <c r="F896" s="8" t="s">
        <v>13</v>
      </c>
      <c r="G896" s="7" t="s">
        <v>14</v>
      </c>
      <c r="H896" s="9" t="s">
        <v>15</v>
      </c>
      <c r="I896" s="5"/>
      <c r="J896" s="5"/>
      <c r="K896" s="5"/>
      <c r="L896" s="5"/>
    </row>
    <row r="897" spans="2:12" ht="14.25" customHeight="1" x14ac:dyDescent="0.2">
      <c r="B897" s="5" t="s">
        <v>16</v>
      </c>
      <c r="C897" s="27" t="s">
        <v>17</v>
      </c>
      <c r="D897" s="27"/>
      <c r="E897" s="27"/>
      <c r="F897" s="27"/>
      <c r="G897" s="27"/>
      <c r="H897" s="5"/>
      <c r="I897" s="5"/>
      <c r="J897" s="5"/>
      <c r="K897" s="5"/>
      <c r="L897" s="5"/>
    </row>
    <row r="898" spans="2:12" x14ac:dyDescent="0.2">
      <c r="B898" s="5"/>
      <c r="C898" s="27" t="s">
        <v>18</v>
      </c>
      <c r="D898" s="27"/>
      <c r="E898" s="27"/>
      <c r="F898" s="27"/>
      <c r="G898" s="27"/>
      <c r="H898" s="5"/>
      <c r="I898" s="5"/>
      <c r="J898" s="5"/>
      <c r="K898" s="5"/>
      <c r="L898" s="5"/>
    </row>
    <row r="899" spans="2:12" ht="9" customHeight="1" x14ac:dyDescent="0.2">
      <c r="B899" s="5" t="s">
        <v>19</v>
      </c>
      <c r="C899" s="5"/>
      <c r="D899" s="5"/>
      <c r="E899" s="5"/>
      <c r="F899" s="5"/>
      <c r="G899" s="5"/>
      <c r="H899" s="5"/>
      <c r="I899" s="5"/>
      <c r="J899" s="5"/>
      <c r="K899" s="5"/>
      <c r="L899" s="5"/>
    </row>
    <row r="900" spans="2:12" x14ac:dyDescent="0.2">
      <c r="B900" s="29" t="s">
        <v>20</v>
      </c>
      <c r="C900" s="29"/>
      <c r="D900" s="29"/>
      <c r="E900" s="29"/>
      <c r="F900" s="29"/>
      <c r="G900" s="29"/>
      <c r="H900" s="10" t="s">
        <v>21</v>
      </c>
      <c r="I900" s="30" t="s">
        <v>22</v>
      </c>
      <c r="J900" s="31"/>
      <c r="K900" s="10" t="s">
        <v>23</v>
      </c>
      <c r="L900" s="12"/>
    </row>
    <row r="901" spans="2:12" ht="14.25" customHeight="1" x14ac:dyDescent="0.2">
      <c r="B901" s="32"/>
      <c r="C901" s="32"/>
      <c r="D901" s="32"/>
      <c r="E901" s="32"/>
      <c r="F901" s="32"/>
      <c r="G901" s="32"/>
      <c r="H901" s="1"/>
      <c r="I901" s="33"/>
      <c r="J901" s="33"/>
      <c r="K901" s="18"/>
      <c r="L901" s="11"/>
    </row>
    <row r="902" spans="2:12" x14ac:dyDescent="0.2"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11"/>
    </row>
    <row r="903" spans="2:12" x14ac:dyDescent="0.2">
      <c r="B903" s="22"/>
      <c r="C903" s="22"/>
      <c r="D903" s="22"/>
      <c r="E903" s="22"/>
      <c r="F903" s="22"/>
      <c r="G903" s="22"/>
      <c r="H903" s="1"/>
      <c r="I903" s="25"/>
      <c r="J903" s="26"/>
      <c r="K903" s="14"/>
      <c r="L903" s="11"/>
    </row>
    <row r="904" spans="2:12" x14ac:dyDescent="0.2"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11"/>
    </row>
    <row r="905" spans="2:12" x14ac:dyDescent="0.2">
      <c r="B905" s="22"/>
      <c r="C905" s="22"/>
      <c r="D905" s="22"/>
      <c r="E905" s="22"/>
      <c r="F905" s="22"/>
      <c r="G905" s="22"/>
      <c r="H905" s="1"/>
      <c r="I905" s="25"/>
      <c r="J905" s="26"/>
      <c r="K905" s="14"/>
      <c r="L905" s="11"/>
    </row>
    <row r="906" spans="2:12" x14ac:dyDescent="0.2"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11"/>
    </row>
    <row r="907" spans="2:12" ht="14.25" customHeight="1" x14ac:dyDescent="0.2">
      <c r="B907" s="24"/>
      <c r="C907" s="24"/>
      <c r="D907" s="24"/>
      <c r="E907" s="24"/>
      <c r="F907" s="24"/>
      <c r="G907" s="24"/>
      <c r="H907" s="1"/>
      <c r="I907" s="25"/>
      <c r="J907" s="26"/>
      <c r="K907" s="14"/>
      <c r="L907" s="11"/>
    </row>
    <row r="908" spans="2:12" x14ac:dyDescent="0.2"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11"/>
    </row>
    <row r="909" spans="2:12" x14ac:dyDescent="0.2">
      <c r="B909" s="22"/>
      <c r="C909" s="22"/>
      <c r="D909" s="22"/>
      <c r="E909" s="22"/>
      <c r="F909" s="22"/>
      <c r="G909" s="22"/>
      <c r="H909" s="1"/>
      <c r="I909" s="25"/>
      <c r="J909" s="26"/>
      <c r="K909" s="14"/>
      <c r="L909" s="11"/>
    </row>
    <row r="910" spans="2:12" x14ac:dyDescent="0.2"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11"/>
    </row>
    <row r="911" spans="2:12" x14ac:dyDescent="0.2">
      <c r="B911" s="22"/>
      <c r="C911" s="22"/>
      <c r="D911" s="22"/>
      <c r="E911" s="22"/>
      <c r="F911" s="22"/>
      <c r="G911" s="22"/>
      <c r="H911" s="1"/>
      <c r="I911" s="25"/>
      <c r="J911" s="26"/>
      <c r="K911" s="14"/>
      <c r="L911" s="11"/>
    </row>
    <row r="912" spans="2:12" x14ac:dyDescent="0.2"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11"/>
    </row>
    <row r="913" spans="2:12" x14ac:dyDescent="0.2">
      <c r="B913" s="22"/>
      <c r="C913" s="22"/>
      <c r="D913" s="22"/>
      <c r="E913" s="22"/>
      <c r="F913" s="22"/>
      <c r="G913" s="22"/>
      <c r="H913" s="1"/>
      <c r="I913" s="25"/>
      <c r="J913" s="26"/>
      <c r="K913" s="14"/>
      <c r="L913" s="11"/>
    </row>
    <row r="914" spans="2:12" x14ac:dyDescent="0.2"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11"/>
    </row>
    <row r="915" spans="2:12" ht="14.25" customHeight="1" x14ac:dyDescent="0.2">
      <c r="B915" s="24"/>
      <c r="C915" s="24"/>
      <c r="D915" s="24"/>
      <c r="E915" s="24"/>
      <c r="F915" s="24"/>
      <c r="G915" s="24"/>
      <c r="H915" s="1"/>
      <c r="I915" s="25"/>
      <c r="J915" s="26"/>
      <c r="K915" s="14"/>
      <c r="L915" s="11"/>
    </row>
    <row r="916" spans="2:12" x14ac:dyDescent="0.2">
      <c r="B916" s="22"/>
      <c r="C916" s="22"/>
      <c r="D916" s="22"/>
      <c r="E916" s="22"/>
      <c r="F916" s="22"/>
      <c r="G916" s="22"/>
      <c r="H916" s="22"/>
      <c r="I916" s="22"/>
      <c r="J916" s="22"/>
      <c r="K916" s="22"/>
    </row>
    <row r="917" spans="2:12" ht="14.25" customHeight="1" x14ac:dyDescent="0.2">
      <c r="B917" s="24"/>
      <c r="C917" s="24"/>
      <c r="D917" s="24"/>
      <c r="E917" s="24"/>
      <c r="F917" s="24"/>
      <c r="G917" s="24"/>
      <c r="H917" s="1"/>
      <c r="I917" s="37"/>
      <c r="J917" s="26"/>
      <c r="K917" s="14"/>
    </row>
    <row r="918" spans="2:12" x14ac:dyDescent="0.2">
      <c r="B918" s="22"/>
      <c r="C918" s="22"/>
      <c r="D918" s="22"/>
      <c r="E918" s="22"/>
      <c r="F918" s="22"/>
      <c r="G918" s="22"/>
      <c r="H918" s="22"/>
      <c r="I918" s="22"/>
      <c r="J918" s="22"/>
      <c r="K918" s="22"/>
    </row>
    <row r="919" spans="2:12" x14ac:dyDescent="0.2">
      <c r="B919" s="22"/>
      <c r="C919" s="22"/>
      <c r="D919" s="22"/>
      <c r="E919" s="22"/>
      <c r="F919" s="22"/>
      <c r="G919" s="22"/>
      <c r="H919" s="1"/>
      <c r="I919" s="21"/>
      <c r="J919" s="21"/>
      <c r="K919" s="11"/>
    </row>
    <row r="920" spans="2:12" x14ac:dyDescent="0.2">
      <c r="B920" s="22"/>
      <c r="C920" s="22"/>
      <c r="D920" s="22"/>
      <c r="E920" s="22"/>
      <c r="F920" s="22"/>
      <c r="G920" s="22"/>
      <c r="H920" s="1"/>
      <c r="I920" s="21"/>
      <c r="J920" s="21"/>
      <c r="K920" s="11"/>
    </row>
    <row r="921" spans="2:12" x14ac:dyDescent="0.2">
      <c r="B921" s="5" t="s">
        <v>24</v>
      </c>
      <c r="C921" s="5"/>
      <c r="D921" s="5"/>
      <c r="E921" s="5"/>
      <c r="F921" s="7" t="s">
        <v>25</v>
      </c>
      <c r="G921" s="5"/>
      <c r="H921" s="5"/>
      <c r="K921" s="16">
        <f>SUM(K901,K903,K905,K907,K909,K911,K913,K915,K917)</f>
        <v>0</v>
      </c>
    </row>
    <row r="922" spans="2:12" x14ac:dyDescent="0.2">
      <c r="B922" s="5"/>
      <c r="C922" s="5"/>
      <c r="D922" s="5"/>
      <c r="E922" s="5"/>
      <c r="F922" s="7" t="s">
        <v>26</v>
      </c>
      <c r="G922" s="5"/>
      <c r="H922" s="5"/>
      <c r="K922" s="16">
        <v>0</v>
      </c>
    </row>
    <row r="923" spans="2:12" x14ac:dyDescent="0.2">
      <c r="B923" s="5"/>
      <c r="C923" s="5"/>
      <c r="D923" s="5"/>
      <c r="E923" s="5"/>
      <c r="F923" s="7" t="s">
        <v>27</v>
      </c>
      <c r="G923" s="5"/>
      <c r="H923" s="5"/>
      <c r="K923" s="16">
        <f>K921+K922</f>
        <v>0</v>
      </c>
    </row>
    <row r="924" spans="2:12" x14ac:dyDescent="0.2">
      <c r="B924" s="28" t="s">
        <v>28</v>
      </c>
      <c r="C924" s="28"/>
      <c r="D924" s="28"/>
      <c r="E924" s="5"/>
      <c r="F924" s="7" t="s">
        <v>29</v>
      </c>
      <c r="G924" s="5"/>
      <c r="H924" s="13">
        <v>0.16</v>
      </c>
      <c r="K924" s="17">
        <f>K923*0.16</f>
        <v>0</v>
      </c>
    </row>
    <row r="925" spans="2:12" x14ac:dyDescent="0.2">
      <c r="B925" s="5"/>
      <c r="C925" s="5"/>
      <c r="D925" s="5"/>
      <c r="E925" s="5"/>
      <c r="F925" s="7" t="s">
        <v>30</v>
      </c>
      <c r="G925" s="5"/>
      <c r="H925" s="5"/>
      <c r="K925" s="17">
        <f>K923*1.16</f>
        <v>0</v>
      </c>
    </row>
    <row r="929" spans="1:15" ht="13.5" customHeight="1" x14ac:dyDescent="0.2">
      <c r="A929" s="35" t="s">
        <v>34</v>
      </c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</row>
    <row r="930" spans="1:15" x14ac:dyDescent="0.2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</row>
    <row r="931" spans="1:15" ht="15" customHeight="1" x14ac:dyDescent="0.2">
      <c r="A931" s="36" t="s">
        <v>31</v>
      </c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</row>
    <row r="932" spans="1:15" ht="15" customHeight="1" x14ac:dyDescent="0.2"/>
    <row r="933" spans="1:15" x14ac:dyDescent="0.2">
      <c r="C933" s="2" t="s">
        <v>32</v>
      </c>
      <c r="D933" s="2"/>
      <c r="E933" s="2"/>
      <c r="F933" s="2"/>
      <c r="G933" s="2"/>
      <c r="H933" s="2"/>
      <c r="I933" s="2"/>
      <c r="J933" s="2"/>
      <c r="K933" s="2"/>
      <c r="L933" s="2"/>
    </row>
    <row r="934" spans="1:15" x14ac:dyDescent="0.2">
      <c r="D934" s="2"/>
      <c r="E934" s="2"/>
      <c r="F934" s="2"/>
      <c r="G934" s="2"/>
      <c r="H934" s="2"/>
      <c r="J934" s="2"/>
      <c r="K934" s="2"/>
    </row>
    <row r="935" spans="1:15" x14ac:dyDescent="0.2">
      <c r="C935" s="2"/>
      <c r="I935" s="2"/>
      <c r="O935" s="3" t="s">
        <v>35</v>
      </c>
    </row>
    <row r="937" spans="1:15" x14ac:dyDescent="0.2">
      <c r="K937" s="38"/>
    </row>
    <row r="938" spans="1:15" x14ac:dyDescent="0.2">
      <c r="K938" s="39"/>
    </row>
    <row r="941" spans="1:15" x14ac:dyDescent="0.2">
      <c r="C941" s="20" t="s">
        <v>0</v>
      </c>
      <c r="D941" s="20"/>
      <c r="E941" s="5"/>
      <c r="F941" s="6"/>
      <c r="H941" s="5" t="s">
        <v>1</v>
      </c>
      <c r="I941" s="4"/>
    </row>
    <row r="942" spans="1:15" ht="20.25" customHeight="1" x14ac:dyDescent="0.2"/>
    <row r="943" spans="1:15" ht="14.25" customHeight="1" x14ac:dyDescent="0.2">
      <c r="B943" s="5" t="s">
        <v>2</v>
      </c>
      <c r="C943" s="34" t="s">
        <v>3</v>
      </c>
      <c r="D943" s="34"/>
      <c r="E943" s="5"/>
      <c r="F943" s="5" t="s">
        <v>4</v>
      </c>
      <c r="G943" s="5"/>
      <c r="H943" s="8" t="s">
        <v>5</v>
      </c>
      <c r="J943" s="7" t="s">
        <v>6</v>
      </c>
      <c r="K943" s="19"/>
    </row>
    <row r="944" spans="1:15" x14ac:dyDescent="0.2">
      <c r="B944" s="5" t="s">
        <v>7</v>
      </c>
      <c r="C944" s="23" t="s">
        <v>8</v>
      </c>
      <c r="D944" s="23"/>
      <c r="E944" s="7" t="s">
        <v>9</v>
      </c>
      <c r="F944" s="5"/>
      <c r="G944" s="5"/>
      <c r="H944" s="5"/>
      <c r="I944" s="5"/>
      <c r="J944" s="7" t="s">
        <v>10</v>
      </c>
      <c r="K944" s="19"/>
      <c r="L944" s="5"/>
    </row>
    <row r="945" spans="2:12" x14ac:dyDescent="0.2">
      <c r="B945" s="28" t="s">
        <v>33</v>
      </c>
      <c r="C945" s="28"/>
      <c r="D945" s="6" t="s">
        <v>11</v>
      </c>
      <c r="E945" s="7" t="s">
        <v>12</v>
      </c>
      <c r="F945" s="8" t="s">
        <v>13</v>
      </c>
      <c r="G945" s="7" t="s">
        <v>14</v>
      </c>
      <c r="H945" s="9" t="s">
        <v>15</v>
      </c>
      <c r="I945" s="5"/>
      <c r="J945" s="5"/>
      <c r="K945" s="5"/>
      <c r="L945" s="5"/>
    </row>
    <row r="946" spans="2:12" ht="14.25" customHeight="1" x14ac:dyDescent="0.2">
      <c r="B946" s="5" t="s">
        <v>16</v>
      </c>
      <c r="C946" s="27" t="s">
        <v>17</v>
      </c>
      <c r="D946" s="27"/>
      <c r="E946" s="27"/>
      <c r="F946" s="27"/>
      <c r="G946" s="27"/>
      <c r="H946" s="5"/>
      <c r="I946" s="5"/>
      <c r="J946" s="5"/>
      <c r="K946" s="5"/>
      <c r="L946" s="5"/>
    </row>
    <row r="947" spans="2:12" x14ac:dyDescent="0.2">
      <c r="B947" s="5"/>
      <c r="C947" s="27" t="s">
        <v>18</v>
      </c>
      <c r="D947" s="27"/>
      <c r="E947" s="27"/>
      <c r="F947" s="27"/>
      <c r="G947" s="27"/>
      <c r="H947" s="5"/>
      <c r="I947" s="5"/>
      <c r="J947" s="5"/>
      <c r="K947" s="5"/>
      <c r="L947" s="5"/>
    </row>
    <row r="948" spans="2:12" ht="9" customHeight="1" x14ac:dyDescent="0.2">
      <c r="B948" s="5" t="s">
        <v>19</v>
      </c>
      <c r="C948" s="5"/>
      <c r="D948" s="5"/>
      <c r="E948" s="5"/>
      <c r="F948" s="5"/>
      <c r="G948" s="5"/>
      <c r="H948" s="5"/>
      <c r="I948" s="5"/>
      <c r="J948" s="5"/>
      <c r="K948" s="5"/>
      <c r="L948" s="5"/>
    </row>
    <row r="949" spans="2:12" x14ac:dyDescent="0.2">
      <c r="B949" s="29" t="s">
        <v>20</v>
      </c>
      <c r="C949" s="29"/>
      <c r="D949" s="29"/>
      <c r="E949" s="29"/>
      <c r="F949" s="29"/>
      <c r="G949" s="29"/>
      <c r="H949" s="10" t="s">
        <v>21</v>
      </c>
      <c r="I949" s="30" t="s">
        <v>22</v>
      </c>
      <c r="J949" s="31"/>
      <c r="K949" s="10" t="s">
        <v>23</v>
      </c>
      <c r="L949" s="12"/>
    </row>
    <row r="950" spans="2:12" ht="14.25" customHeight="1" x14ac:dyDescent="0.2">
      <c r="B950" s="32"/>
      <c r="C950" s="32"/>
      <c r="D950" s="32"/>
      <c r="E950" s="32"/>
      <c r="F950" s="32"/>
      <c r="G950" s="32"/>
      <c r="H950" s="1"/>
      <c r="I950" s="33"/>
      <c r="J950" s="33"/>
      <c r="K950" s="18"/>
      <c r="L950" s="11"/>
    </row>
    <row r="951" spans="2:12" x14ac:dyDescent="0.2"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11"/>
    </row>
    <row r="952" spans="2:12" x14ac:dyDescent="0.2">
      <c r="B952" s="22"/>
      <c r="C952" s="22"/>
      <c r="D952" s="22"/>
      <c r="E952" s="22"/>
      <c r="F952" s="22"/>
      <c r="G952" s="22"/>
      <c r="H952" s="1"/>
      <c r="I952" s="25"/>
      <c r="J952" s="26"/>
      <c r="K952" s="14"/>
      <c r="L952" s="11"/>
    </row>
    <row r="953" spans="2:12" x14ac:dyDescent="0.2"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11"/>
    </row>
    <row r="954" spans="2:12" x14ac:dyDescent="0.2">
      <c r="B954" s="22"/>
      <c r="C954" s="22"/>
      <c r="D954" s="22"/>
      <c r="E954" s="22"/>
      <c r="F954" s="22"/>
      <c r="G954" s="22"/>
      <c r="H954" s="1"/>
      <c r="I954" s="25"/>
      <c r="J954" s="26"/>
      <c r="K954" s="14"/>
      <c r="L954" s="11"/>
    </row>
    <row r="955" spans="2:12" x14ac:dyDescent="0.2"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11"/>
    </row>
    <row r="956" spans="2:12" ht="14.25" customHeight="1" x14ac:dyDescent="0.2">
      <c r="B956" s="24"/>
      <c r="C956" s="24"/>
      <c r="D956" s="24"/>
      <c r="E956" s="24"/>
      <c r="F956" s="24"/>
      <c r="G956" s="24"/>
      <c r="H956" s="1"/>
      <c r="I956" s="25"/>
      <c r="J956" s="26"/>
      <c r="K956" s="14"/>
      <c r="L956" s="11"/>
    </row>
    <row r="957" spans="2:12" x14ac:dyDescent="0.2"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11"/>
    </row>
    <row r="958" spans="2:12" x14ac:dyDescent="0.2">
      <c r="B958" s="22"/>
      <c r="C958" s="22"/>
      <c r="D958" s="22"/>
      <c r="E958" s="22"/>
      <c r="F958" s="22"/>
      <c r="G958" s="22"/>
      <c r="H958" s="1"/>
      <c r="I958" s="25"/>
      <c r="J958" s="26"/>
      <c r="K958" s="14"/>
      <c r="L958" s="11"/>
    </row>
    <row r="959" spans="2:12" x14ac:dyDescent="0.2"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11"/>
    </row>
    <row r="960" spans="2:12" x14ac:dyDescent="0.2">
      <c r="B960" s="22"/>
      <c r="C960" s="22"/>
      <c r="D960" s="22"/>
      <c r="E960" s="22"/>
      <c r="F960" s="22"/>
      <c r="G960" s="22"/>
      <c r="H960" s="1"/>
      <c r="I960" s="25"/>
      <c r="J960" s="26"/>
      <c r="K960" s="14"/>
      <c r="L960" s="11"/>
    </row>
    <row r="961" spans="2:12" x14ac:dyDescent="0.2"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11"/>
    </row>
    <row r="962" spans="2:12" x14ac:dyDescent="0.2">
      <c r="B962" s="22"/>
      <c r="C962" s="22"/>
      <c r="D962" s="22"/>
      <c r="E962" s="22"/>
      <c r="F962" s="22"/>
      <c r="G962" s="22"/>
      <c r="H962" s="1"/>
      <c r="I962" s="25"/>
      <c r="J962" s="26"/>
      <c r="K962" s="14"/>
      <c r="L962" s="11"/>
    </row>
    <row r="963" spans="2:12" x14ac:dyDescent="0.2"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11"/>
    </row>
    <row r="964" spans="2:12" ht="14.25" customHeight="1" x14ac:dyDescent="0.2">
      <c r="B964" s="24"/>
      <c r="C964" s="24"/>
      <c r="D964" s="24"/>
      <c r="E964" s="24"/>
      <c r="F964" s="24"/>
      <c r="G964" s="24"/>
      <c r="H964" s="1"/>
      <c r="I964" s="25"/>
      <c r="J964" s="26"/>
      <c r="K964" s="14"/>
      <c r="L964" s="11"/>
    </row>
    <row r="965" spans="2:12" x14ac:dyDescent="0.2">
      <c r="B965" s="22"/>
      <c r="C965" s="22"/>
      <c r="D965" s="22"/>
      <c r="E965" s="22"/>
      <c r="F965" s="22"/>
      <c r="G965" s="22"/>
      <c r="H965" s="22"/>
      <c r="I965" s="22"/>
      <c r="J965" s="22"/>
      <c r="K965" s="22"/>
    </row>
    <row r="966" spans="2:12" ht="14.25" customHeight="1" x14ac:dyDescent="0.2">
      <c r="B966" s="24"/>
      <c r="C966" s="24"/>
      <c r="D966" s="24"/>
      <c r="E966" s="24"/>
      <c r="F966" s="24"/>
      <c r="G966" s="24"/>
      <c r="H966" s="1"/>
      <c r="I966" s="37"/>
      <c r="J966" s="26"/>
      <c r="K966" s="14"/>
    </row>
    <row r="967" spans="2:12" x14ac:dyDescent="0.2">
      <c r="B967" s="22"/>
      <c r="C967" s="22"/>
      <c r="D967" s="22"/>
      <c r="E967" s="22"/>
      <c r="F967" s="22"/>
      <c r="G967" s="22"/>
      <c r="H967" s="22"/>
      <c r="I967" s="22"/>
      <c r="J967" s="22"/>
      <c r="K967" s="22"/>
    </row>
    <row r="968" spans="2:12" x14ac:dyDescent="0.2">
      <c r="B968" s="22"/>
      <c r="C968" s="22"/>
      <c r="D968" s="22"/>
      <c r="E968" s="22"/>
      <c r="F968" s="22"/>
      <c r="G968" s="22"/>
      <c r="H968" s="1"/>
      <c r="I968" s="21"/>
      <c r="J968" s="21"/>
      <c r="K968" s="11"/>
    </row>
    <row r="969" spans="2:12" x14ac:dyDescent="0.2">
      <c r="B969" s="22"/>
      <c r="C969" s="22"/>
      <c r="D969" s="22"/>
      <c r="E969" s="22"/>
      <c r="F969" s="22"/>
      <c r="G969" s="22"/>
      <c r="H969" s="1"/>
      <c r="I969" s="21"/>
      <c r="J969" s="21"/>
      <c r="K969" s="11"/>
    </row>
    <row r="970" spans="2:12" x14ac:dyDescent="0.2">
      <c r="B970" s="5" t="s">
        <v>24</v>
      </c>
      <c r="C970" s="5"/>
      <c r="D970" s="5"/>
      <c r="E970" s="5"/>
      <c r="F970" s="7" t="s">
        <v>25</v>
      </c>
      <c r="G970" s="5"/>
      <c r="H970" s="5"/>
      <c r="K970" s="16">
        <f>SUM(K950,K952,K954,K956,K958,K960,K962,K964,K966)</f>
        <v>0</v>
      </c>
    </row>
    <row r="971" spans="2:12" x14ac:dyDescent="0.2">
      <c r="B971" s="5"/>
      <c r="C971" s="5"/>
      <c r="D971" s="5"/>
      <c r="E971" s="5"/>
      <c r="F971" s="7" t="s">
        <v>26</v>
      </c>
      <c r="G971" s="5"/>
      <c r="H971" s="5"/>
      <c r="K971" s="16">
        <v>0</v>
      </c>
    </row>
    <row r="972" spans="2:12" x14ac:dyDescent="0.2">
      <c r="B972" s="5"/>
      <c r="C972" s="5"/>
      <c r="D972" s="5"/>
      <c r="E972" s="5"/>
      <c r="F972" s="7" t="s">
        <v>27</v>
      </c>
      <c r="G972" s="5"/>
      <c r="H972" s="5"/>
      <c r="K972" s="16">
        <f>K970+K971</f>
        <v>0</v>
      </c>
    </row>
    <row r="973" spans="2:12" x14ac:dyDescent="0.2">
      <c r="B973" s="28" t="s">
        <v>28</v>
      </c>
      <c r="C973" s="28"/>
      <c r="D973" s="28"/>
      <c r="E973" s="5"/>
      <c r="F973" s="7" t="s">
        <v>29</v>
      </c>
      <c r="G973" s="5"/>
      <c r="H973" s="13">
        <v>0.16</v>
      </c>
      <c r="K973" s="17">
        <f>K972*0.16</f>
        <v>0</v>
      </c>
    </row>
    <row r="974" spans="2:12" x14ac:dyDescent="0.2">
      <c r="B974" s="5"/>
      <c r="C974" s="5"/>
      <c r="D974" s="5"/>
      <c r="E974" s="5"/>
      <c r="F974" s="7" t="s">
        <v>30</v>
      </c>
      <c r="G974" s="5"/>
      <c r="H974" s="5"/>
      <c r="K974" s="17">
        <f>K972*1.16</f>
        <v>0</v>
      </c>
    </row>
    <row r="978" spans="1:12" ht="13.5" customHeight="1" x14ac:dyDescent="0.2">
      <c r="A978" s="35" t="s">
        <v>34</v>
      </c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</row>
    <row r="979" spans="1:12" x14ac:dyDescent="0.2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</row>
    <row r="980" spans="1:12" ht="15" customHeight="1" x14ac:dyDescent="0.2">
      <c r="A980" s="36" t="s">
        <v>31</v>
      </c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</row>
    <row r="981" spans="1:12" ht="15" customHeight="1" x14ac:dyDescent="0.2"/>
    <row r="982" spans="1:12" x14ac:dyDescent="0.2">
      <c r="C982" s="2" t="s">
        <v>32</v>
      </c>
      <c r="D982" s="2"/>
      <c r="E982" s="2"/>
      <c r="F982" s="2"/>
      <c r="G982" s="2"/>
      <c r="H982" s="2"/>
      <c r="I982" s="2"/>
      <c r="J982" s="2"/>
      <c r="K982" s="2"/>
      <c r="L982" s="2"/>
    </row>
    <row r="983" spans="1:12" x14ac:dyDescent="0.2">
      <c r="D983" s="2"/>
      <c r="E983" s="2"/>
      <c r="F983" s="2"/>
      <c r="G983" s="2"/>
      <c r="H983" s="2"/>
      <c r="J983" s="2"/>
      <c r="K983" s="2"/>
    </row>
    <row r="984" spans="1:12" x14ac:dyDescent="0.2">
      <c r="C984" s="2"/>
      <c r="I984" s="2"/>
    </row>
    <row r="986" spans="1:12" x14ac:dyDescent="0.2">
      <c r="K986" s="38"/>
    </row>
    <row r="987" spans="1:12" x14ac:dyDescent="0.2">
      <c r="K987" s="39"/>
    </row>
    <row r="990" spans="1:12" x14ac:dyDescent="0.2">
      <c r="C990" s="20" t="s">
        <v>0</v>
      </c>
      <c r="D990" s="20"/>
      <c r="E990" s="5"/>
      <c r="F990" s="6"/>
      <c r="H990" s="5" t="s">
        <v>1</v>
      </c>
      <c r="I990" s="4"/>
    </row>
    <row r="991" spans="1:12" ht="20.25" customHeight="1" x14ac:dyDescent="0.2"/>
    <row r="992" spans="1:12" ht="14.25" customHeight="1" x14ac:dyDescent="0.2">
      <c r="B992" s="5" t="s">
        <v>2</v>
      </c>
      <c r="C992" s="34" t="s">
        <v>3</v>
      </c>
      <c r="D992" s="34"/>
      <c r="E992" s="5"/>
      <c r="F992" s="5" t="s">
        <v>4</v>
      </c>
      <c r="G992" s="5"/>
      <c r="H992" s="8" t="s">
        <v>5</v>
      </c>
      <c r="J992" s="7" t="s">
        <v>6</v>
      </c>
      <c r="K992" s="19"/>
    </row>
    <row r="993" spans="2:12" x14ac:dyDescent="0.2">
      <c r="B993" s="5" t="s">
        <v>7</v>
      </c>
      <c r="C993" s="23" t="s">
        <v>8</v>
      </c>
      <c r="D993" s="23"/>
      <c r="E993" s="7" t="s">
        <v>9</v>
      </c>
      <c r="F993" s="5"/>
      <c r="G993" s="5"/>
      <c r="H993" s="5"/>
      <c r="I993" s="5"/>
      <c r="J993" s="7" t="s">
        <v>10</v>
      </c>
      <c r="K993" s="19"/>
      <c r="L993" s="5"/>
    </row>
    <row r="994" spans="2:12" x14ac:dyDescent="0.2">
      <c r="B994" s="28" t="s">
        <v>33</v>
      </c>
      <c r="C994" s="28"/>
      <c r="D994" s="6" t="s">
        <v>11</v>
      </c>
      <c r="E994" s="7" t="s">
        <v>12</v>
      </c>
      <c r="F994" s="8" t="s">
        <v>13</v>
      </c>
      <c r="G994" s="7" t="s">
        <v>14</v>
      </c>
      <c r="H994" s="9" t="s">
        <v>15</v>
      </c>
      <c r="I994" s="5"/>
      <c r="J994" s="5"/>
      <c r="K994" s="5"/>
      <c r="L994" s="5"/>
    </row>
    <row r="995" spans="2:12" ht="14.25" customHeight="1" x14ac:dyDescent="0.2">
      <c r="B995" s="5" t="s">
        <v>16</v>
      </c>
      <c r="C995" s="27" t="s">
        <v>17</v>
      </c>
      <c r="D995" s="27"/>
      <c r="E995" s="27"/>
      <c r="F995" s="27"/>
      <c r="G995" s="27"/>
      <c r="H995" s="5"/>
      <c r="I995" s="5"/>
      <c r="J995" s="5"/>
      <c r="K995" s="5"/>
      <c r="L995" s="5"/>
    </row>
    <row r="996" spans="2:12" x14ac:dyDescent="0.2">
      <c r="B996" s="5"/>
      <c r="C996" s="27" t="s">
        <v>18</v>
      </c>
      <c r="D996" s="27"/>
      <c r="E996" s="27"/>
      <c r="F996" s="27"/>
      <c r="G996" s="27"/>
      <c r="H996" s="5"/>
      <c r="I996" s="5"/>
      <c r="J996" s="5"/>
      <c r="K996" s="5"/>
      <c r="L996" s="5"/>
    </row>
    <row r="997" spans="2:12" ht="9" customHeight="1" x14ac:dyDescent="0.2">
      <c r="B997" s="5" t="s">
        <v>19</v>
      </c>
      <c r="C997" s="5"/>
      <c r="D997" s="5"/>
      <c r="E997" s="5"/>
      <c r="F997" s="5"/>
      <c r="G997" s="5"/>
      <c r="H997" s="5"/>
      <c r="I997" s="5"/>
      <c r="J997" s="5"/>
      <c r="K997" s="5"/>
      <c r="L997" s="5"/>
    </row>
    <row r="998" spans="2:12" x14ac:dyDescent="0.2">
      <c r="B998" s="29" t="s">
        <v>20</v>
      </c>
      <c r="C998" s="29"/>
      <c r="D998" s="29"/>
      <c r="E998" s="29"/>
      <c r="F998" s="29"/>
      <c r="G998" s="29"/>
      <c r="H998" s="10" t="s">
        <v>21</v>
      </c>
      <c r="I998" s="30" t="s">
        <v>22</v>
      </c>
      <c r="J998" s="31"/>
      <c r="K998" s="10" t="s">
        <v>23</v>
      </c>
      <c r="L998" s="12"/>
    </row>
    <row r="999" spans="2:12" ht="14.25" customHeight="1" x14ac:dyDescent="0.2">
      <c r="B999" s="32"/>
      <c r="C999" s="32"/>
      <c r="D999" s="32"/>
      <c r="E999" s="32"/>
      <c r="F999" s="32"/>
      <c r="G999" s="32"/>
      <c r="H999" s="1"/>
      <c r="I999" s="33"/>
      <c r="J999" s="33"/>
      <c r="K999" s="18"/>
      <c r="L999" s="11"/>
    </row>
    <row r="1000" spans="2:12" x14ac:dyDescent="0.2"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11"/>
    </row>
    <row r="1001" spans="2:12" x14ac:dyDescent="0.2">
      <c r="B1001" s="22"/>
      <c r="C1001" s="22"/>
      <c r="D1001" s="22"/>
      <c r="E1001" s="22"/>
      <c r="F1001" s="22"/>
      <c r="G1001" s="22"/>
      <c r="H1001" s="1"/>
      <c r="I1001" s="25"/>
      <c r="J1001" s="26"/>
      <c r="K1001" s="14"/>
      <c r="L1001" s="11"/>
    </row>
    <row r="1002" spans="2:12" x14ac:dyDescent="0.2"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11"/>
    </row>
    <row r="1003" spans="2:12" x14ac:dyDescent="0.2">
      <c r="B1003" s="22"/>
      <c r="C1003" s="22"/>
      <c r="D1003" s="22"/>
      <c r="E1003" s="22"/>
      <c r="F1003" s="22"/>
      <c r="G1003" s="22"/>
      <c r="H1003" s="1"/>
      <c r="I1003" s="25"/>
      <c r="J1003" s="26"/>
      <c r="K1003" s="14"/>
      <c r="L1003" s="11"/>
    </row>
    <row r="1004" spans="2:12" x14ac:dyDescent="0.2"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11"/>
    </row>
    <row r="1005" spans="2:12" ht="14.25" customHeight="1" x14ac:dyDescent="0.2">
      <c r="B1005" s="24"/>
      <c r="C1005" s="24"/>
      <c r="D1005" s="24"/>
      <c r="E1005" s="24"/>
      <c r="F1005" s="24"/>
      <c r="G1005" s="24"/>
      <c r="H1005" s="1"/>
      <c r="I1005" s="25"/>
      <c r="J1005" s="26"/>
      <c r="K1005" s="14"/>
      <c r="L1005" s="11"/>
    </row>
    <row r="1006" spans="2:12" x14ac:dyDescent="0.2"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11"/>
    </row>
    <row r="1007" spans="2:12" x14ac:dyDescent="0.2">
      <c r="B1007" s="22"/>
      <c r="C1007" s="22"/>
      <c r="D1007" s="22"/>
      <c r="E1007" s="22"/>
      <c r="F1007" s="22"/>
      <c r="G1007" s="22"/>
      <c r="H1007" s="1"/>
      <c r="I1007" s="25"/>
      <c r="J1007" s="26"/>
      <c r="K1007" s="14"/>
      <c r="L1007" s="11"/>
    </row>
    <row r="1008" spans="2:12" x14ac:dyDescent="0.2">
      <c r="B1008" s="22"/>
      <c r="C1008" s="22"/>
      <c r="D1008" s="22"/>
      <c r="E1008" s="22"/>
      <c r="F1008" s="22"/>
      <c r="G1008" s="22"/>
      <c r="H1008" s="22"/>
      <c r="I1008" s="22"/>
      <c r="J1008" s="22"/>
      <c r="K1008" s="22"/>
      <c r="L1008" s="11"/>
    </row>
    <row r="1009" spans="2:12" x14ac:dyDescent="0.2">
      <c r="B1009" s="22"/>
      <c r="C1009" s="22"/>
      <c r="D1009" s="22"/>
      <c r="E1009" s="22"/>
      <c r="F1009" s="22"/>
      <c r="G1009" s="22"/>
      <c r="H1009" s="1"/>
      <c r="I1009" s="25"/>
      <c r="J1009" s="26"/>
      <c r="K1009" s="14"/>
      <c r="L1009" s="11"/>
    </row>
    <row r="1010" spans="2:12" x14ac:dyDescent="0.2">
      <c r="B1010" s="22"/>
      <c r="C1010" s="22"/>
      <c r="D1010" s="22"/>
      <c r="E1010" s="22"/>
      <c r="F1010" s="22"/>
      <c r="G1010" s="22"/>
      <c r="H1010" s="22"/>
      <c r="I1010" s="22"/>
      <c r="J1010" s="22"/>
      <c r="K1010" s="22"/>
      <c r="L1010" s="11"/>
    </row>
    <row r="1011" spans="2:12" x14ac:dyDescent="0.2">
      <c r="B1011" s="22"/>
      <c r="C1011" s="22"/>
      <c r="D1011" s="22"/>
      <c r="E1011" s="22"/>
      <c r="F1011" s="22"/>
      <c r="G1011" s="22"/>
      <c r="H1011" s="1"/>
      <c r="I1011" s="25"/>
      <c r="J1011" s="26"/>
      <c r="K1011" s="14"/>
      <c r="L1011" s="11"/>
    </row>
    <row r="1012" spans="2:12" x14ac:dyDescent="0.2">
      <c r="B1012" s="22"/>
      <c r="C1012" s="22"/>
      <c r="D1012" s="22"/>
      <c r="E1012" s="22"/>
      <c r="F1012" s="22"/>
      <c r="G1012" s="22"/>
      <c r="H1012" s="22"/>
      <c r="I1012" s="22"/>
      <c r="J1012" s="22"/>
      <c r="K1012" s="22"/>
      <c r="L1012" s="11"/>
    </row>
    <row r="1013" spans="2:12" ht="14.25" customHeight="1" x14ac:dyDescent="0.2">
      <c r="B1013" s="24"/>
      <c r="C1013" s="24"/>
      <c r="D1013" s="24"/>
      <c r="E1013" s="24"/>
      <c r="F1013" s="24"/>
      <c r="G1013" s="24"/>
      <c r="H1013" s="1"/>
      <c r="I1013" s="25"/>
      <c r="J1013" s="26"/>
      <c r="K1013" s="14"/>
      <c r="L1013" s="11"/>
    </row>
    <row r="1014" spans="2:12" x14ac:dyDescent="0.2">
      <c r="B1014" s="22"/>
      <c r="C1014" s="22"/>
      <c r="D1014" s="22"/>
      <c r="E1014" s="22"/>
      <c r="F1014" s="22"/>
      <c r="G1014" s="22"/>
      <c r="H1014" s="22"/>
      <c r="I1014" s="22"/>
      <c r="J1014" s="22"/>
      <c r="K1014" s="22"/>
    </row>
    <row r="1015" spans="2:12" ht="14.25" customHeight="1" x14ac:dyDescent="0.2">
      <c r="B1015" s="24"/>
      <c r="C1015" s="24"/>
      <c r="D1015" s="24"/>
      <c r="E1015" s="24"/>
      <c r="F1015" s="24"/>
      <c r="G1015" s="24"/>
      <c r="H1015" s="1"/>
      <c r="I1015" s="37"/>
      <c r="J1015" s="26"/>
      <c r="K1015" s="14"/>
    </row>
    <row r="1016" spans="2:12" x14ac:dyDescent="0.2">
      <c r="B1016" s="22"/>
      <c r="C1016" s="22"/>
      <c r="D1016" s="22"/>
      <c r="E1016" s="22"/>
      <c r="F1016" s="22"/>
      <c r="G1016" s="22"/>
      <c r="H1016" s="22"/>
      <c r="I1016" s="22"/>
      <c r="J1016" s="22"/>
      <c r="K1016" s="22"/>
    </row>
    <row r="1017" spans="2:12" x14ac:dyDescent="0.2">
      <c r="B1017" s="22"/>
      <c r="C1017" s="22"/>
      <c r="D1017" s="22"/>
      <c r="E1017" s="22"/>
      <c r="F1017" s="22"/>
      <c r="G1017" s="22"/>
      <c r="H1017" s="1"/>
      <c r="I1017" s="21"/>
      <c r="J1017" s="21"/>
      <c r="K1017" s="11"/>
    </row>
    <row r="1018" spans="2:12" x14ac:dyDescent="0.2">
      <c r="B1018" s="22"/>
      <c r="C1018" s="22"/>
      <c r="D1018" s="22"/>
      <c r="E1018" s="22"/>
      <c r="F1018" s="22"/>
      <c r="G1018" s="22"/>
      <c r="H1018" s="1"/>
      <c r="I1018" s="21"/>
      <c r="J1018" s="21"/>
      <c r="K1018" s="11"/>
    </row>
    <row r="1019" spans="2:12" x14ac:dyDescent="0.2">
      <c r="B1019" s="5" t="s">
        <v>24</v>
      </c>
      <c r="C1019" s="5"/>
      <c r="D1019" s="5"/>
      <c r="E1019" s="5"/>
      <c r="F1019" s="7" t="s">
        <v>25</v>
      </c>
      <c r="G1019" s="5"/>
      <c r="H1019" s="5"/>
      <c r="K1019" s="16">
        <f>SUM(K999,K1001,K1003,K1005,K1007,K1009,K1011,K1013,K1015)</f>
        <v>0</v>
      </c>
    </row>
    <row r="1020" spans="2:12" x14ac:dyDescent="0.2">
      <c r="B1020" s="5"/>
      <c r="C1020" s="5"/>
      <c r="D1020" s="5"/>
      <c r="E1020" s="5"/>
      <c r="F1020" s="7" t="s">
        <v>26</v>
      </c>
      <c r="G1020" s="5"/>
      <c r="H1020" s="5"/>
      <c r="K1020" s="16">
        <v>0</v>
      </c>
    </row>
    <row r="1021" spans="2:12" x14ac:dyDescent="0.2">
      <c r="B1021" s="5"/>
      <c r="C1021" s="5"/>
      <c r="D1021" s="5"/>
      <c r="E1021" s="5"/>
      <c r="F1021" s="7" t="s">
        <v>27</v>
      </c>
      <c r="G1021" s="5"/>
      <c r="H1021" s="5"/>
      <c r="K1021" s="16">
        <f>K1019+K1020</f>
        <v>0</v>
      </c>
    </row>
    <row r="1022" spans="2:12" x14ac:dyDescent="0.2">
      <c r="B1022" s="28" t="s">
        <v>28</v>
      </c>
      <c r="C1022" s="28"/>
      <c r="D1022" s="28"/>
      <c r="E1022" s="5"/>
      <c r="F1022" s="7" t="s">
        <v>29</v>
      </c>
      <c r="G1022" s="5"/>
      <c r="H1022" s="13">
        <v>0.16</v>
      </c>
      <c r="K1022" s="17">
        <f>K1021*0.16</f>
        <v>0</v>
      </c>
    </row>
    <row r="1023" spans="2:12" x14ac:dyDescent="0.2">
      <c r="B1023" s="5"/>
      <c r="C1023" s="5"/>
      <c r="D1023" s="5"/>
      <c r="E1023" s="5"/>
      <c r="F1023" s="7" t="s">
        <v>30</v>
      </c>
      <c r="G1023" s="5"/>
      <c r="H1023" s="5"/>
      <c r="K1023" s="17">
        <f>K1021*1.16</f>
        <v>0</v>
      </c>
    </row>
    <row r="1027" spans="1:12" ht="13.5" customHeight="1" x14ac:dyDescent="0.2">
      <c r="A1027" s="35" t="s">
        <v>34</v>
      </c>
      <c r="B1027" s="35"/>
      <c r="C1027" s="35"/>
      <c r="D1027" s="35"/>
      <c r="E1027" s="35"/>
      <c r="F1027" s="35"/>
      <c r="G1027" s="35"/>
      <c r="H1027" s="35"/>
      <c r="I1027" s="35"/>
      <c r="J1027" s="35"/>
      <c r="K1027" s="35"/>
      <c r="L1027" s="35"/>
    </row>
    <row r="1028" spans="1:12" x14ac:dyDescent="0.2">
      <c r="A1028" s="35"/>
      <c r="B1028" s="35"/>
      <c r="C1028" s="35"/>
      <c r="D1028" s="35"/>
      <c r="E1028" s="35"/>
      <c r="F1028" s="35"/>
      <c r="G1028" s="35"/>
      <c r="H1028" s="35"/>
      <c r="I1028" s="35"/>
      <c r="J1028" s="35"/>
      <c r="K1028" s="35"/>
      <c r="L1028" s="35"/>
    </row>
    <row r="1029" spans="1:12" ht="15" customHeight="1" x14ac:dyDescent="0.2">
      <c r="A1029" s="36" t="s">
        <v>31</v>
      </c>
      <c r="B1029" s="36"/>
      <c r="C1029" s="36"/>
      <c r="D1029" s="36"/>
      <c r="E1029" s="36"/>
      <c r="F1029" s="36"/>
      <c r="G1029" s="36"/>
      <c r="H1029" s="36"/>
      <c r="I1029" s="36"/>
      <c r="J1029" s="36"/>
      <c r="K1029" s="36"/>
      <c r="L1029" s="36"/>
    </row>
    <row r="1030" spans="1:12" ht="15" customHeight="1" x14ac:dyDescent="0.2"/>
    <row r="1031" spans="1:12" x14ac:dyDescent="0.2">
      <c r="C1031" s="2" t="s">
        <v>32</v>
      </c>
      <c r="D1031" s="2"/>
      <c r="E1031" s="2"/>
      <c r="F1031" s="2"/>
      <c r="G1031" s="2"/>
      <c r="H1031" s="2"/>
      <c r="I1031" s="2"/>
      <c r="J1031" s="2"/>
      <c r="K1031" s="2"/>
      <c r="L1031" s="2"/>
    </row>
    <row r="1032" spans="1:12" x14ac:dyDescent="0.2">
      <c r="D1032" s="2"/>
      <c r="E1032" s="2"/>
      <c r="F1032" s="2"/>
      <c r="G1032" s="2"/>
      <c r="H1032" s="2"/>
      <c r="J1032" s="2"/>
      <c r="K1032" s="2"/>
    </row>
    <row r="1033" spans="1:12" x14ac:dyDescent="0.2">
      <c r="C1033" s="2"/>
      <c r="I1033" s="2"/>
    </row>
    <row r="1035" spans="1:12" x14ac:dyDescent="0.2">
      <c r="K1035" s="38"/>
    </row>
    <row r="1036" spans="1:12" x14ac:dyDescent="0.2">
      <c r="K1036" s="39"/>
    </row>
    <row r="1039" spans="1:12" x14ac:dyDescent="0.2">
      <c r="C1039" s="20" t="s">
        <v>0</v>
      </c>
      <c r="D1039" s="20"/>
      <c r="E1039" s="5"/>
      <c r="F1039" s="6"/>
      <c r="H1039" s="5" t="s">
        <v>1</v>
      </c>
      <c r="I1039" s="4"/>
    </row>
    <row r="1040" spans="1:12" ht="20.25" customHeight="1" x14ac:dyDescent="0.2"/>
    <row r="1041" spans="2:12" ht="14.25" customHeight="1" x14ac:dyDescent="0.2">
      <c r="B1041" s="5" t="s">
        <v>2</v>
      </c>
      <c r="C1041" s="34" t="s">
        <v>3</v>
      </c>
      <c r="D1041" s="34"/>
      <c r="E1041" s="5"/>
      <c r="F1041" s="5" t="s">
        <v>4</v>
      </c>
      <c r="G1041" s="5"/>
      <c r="H1041" s="8" t="s">
        <v>5</v>
      </c>
      <c r="J1041" s="7" t="s">
        <v>6</v>
      </c>
      <c r="K1041" s="19"/>
    </row>
    <row r="1042" spans="2:12" x14ac:dyDescent="0.2">
      <c r="B1042" s="5" t="s">
        <v>7</v>
      </c>
      <c r="C1042" s="23" t="s">
        <v>8</v>
      </c>
      <c r="D1042" s="23"/>
      <c r="E1042" s="7" t="s">
        <v>9</v>
      </c>
      <c r="F1042" s="5"/>
      <c r="G1042" s="5"/>
      <c r="H1042" s="5"/>
      <c r="I1042" s="5"/>
      <c r="J1042" s="7" t="s">
        <v>10</v>
      </c>
      <c r="K1042" s="19"/>
      <c r="L1042" s="5"/>
    </row>
    <row r="1043" spans="2:12" x14ac:dyDescent="0.2">
      <c r="B1043" s="28" t="s">
        <v>33</v>
      </c>
      <c r="C1043" s="28"/>
      <c r="D1043" s="6" t="s">
        <v>11</v>
      </c>
      <c r="E1043" s="7" t="s">
        <v>12</v>
      </c>
      <c r="F1043" s="8" t="s">
        <v>13</v>
      </c>
      <c r="G1043" s="7" t="s">
        <v>14</v>
      </c>
      <c r="H1043" s="9" t="s">
        <v>15</v>
      </c>
      <c r="I1043" s="5"/>
      <c r="J1043" s="5"/>
      <c r="K1043" s="5"/>
      <c r="L1043" s="5"/>
    </row>
    <row r="1044" spans="2:12" ht="14.25" customHeight="1" x14ac:dyDescent="0.2">
      <c r="B1044" s="5" t="s">
        <v>16</v>
      </c>
      <c r="C1044" s="27" t="s">
        <v>17</v>
      </c>
      <c r="D1044" s="27"/>
      <c r="E1044" s="27"/>
      <c r="F1044" s="27"/>
      <c r="G1044" s="27"/>
      <c r="H1044" s="5"/>
      <c r="I1044" s="5"/>
      <c r="J1044" s="5"/>
      <c r="K1044" s="5"/>
      <c r="L1044" s="5"/>
    </row>
    <row r="1045" spans="2:12" x14ac:dyDescent="0.2">
      <c r="B1045" s="5"/>
      <c r="C1045" s="27" t="s">
        <v>18</v>
      </c>
      <c r="D1045" s="27"/>
      <c r="E1045" s="27"/>
      <c r="F1045" s="27"/>
      <c r="G1045" s="27"/>
      <c r="H1045" s="5"/>
      <c r="I1045" s="5"/>
      <c r="J1045" s="5"/>
      <c r="K1045" s="5"/>
      <c r="L1045" s="5"/>
    </row>
    <row r="1046" spans="2:12" ht="9" customHeight="1" x14ac:dyDescent="0.2">
      <c r="B1046" s="5" t="s">
        <v>19</v>
      </c>
      <c r="C1046" s="5"/>
      <c r="D1046" s="5"/>
      <c r="E1046" s="5"/>
      <c r="F1046" s="5"/>
      <c r="G1046" s="5"/>
      <c r="H1046" s="5"/>
      <c r="I1046" s="5"/>
      <c r="J1046" s="5"/>
      <c r="K1046" s="5"/>
      <c r="L1046" s="5"/>
    </row>
    <row r="1047" spans="2:12" x14ac:dyDescent="0.2">
      <c r="B1047" s="29" t="s">
        <v>20</v>
      </c>
      <c r="C1047" s="29"/>
      <c r="D1047" s="29"/>
      <c r="E1047" s="29"/>
      <c r="F1047" s="29"/>
      <c r="G1047" s="29"/>
      <c r="H1047" s="10" t="s">
        <v>21</v>
      </c>
      <c r="I1047" s="30" t="s">
        <v>22</v>
      </c>
      <c r="J1047" s="31"/>
      <c r="K1047" s="10" t="s">
        <v>23</v>
      </c>
      <c r="L1047" s="12"/>
    </row>
    <row r="1048" spans="2:12" ht="14.25" customHeight="1" x14ac:dyDescent="0.2">
      <c r="B1048" s="32"/>
      <c r="C1048" s="32"/>
      <c r="D1048" s="32"/>
      <c r="E1048" s="32"/>
      <c r="F1048" s="32"/>
      <c r="G1048" s="32"/>
      <c r="H1048" s="1"/>
      <c r="I1048" s="33"/>
      <c r="J1048" s="33"/>
      <c r="K1048" s="18"/>
      <c r="L1048" s="11"/>
    </row>
    <row r="1049" spans="2:12" x14ac:dyDescent="0.2">
      <c r="B1049" s="22"/>
      <c r="C1049" s="22"/>
      <c r="D1049" s="22"/>
      <c r="E1049" s="22"/>
      <c r="F1049" s="22"/>
      <c r="G1049" s="22"/>
      <c r="H1049" s="22"/>
      <c r="I1049" s="22"/>
      <c r="J1049" s="22"/>
      <c r="K1049" s="22"/>
      <c r="L1049" s="11"/>
    </row>
    <row r="1050" spans="2:12" x14ac:dyDescent="0.2">
      <c r="B1050" s="22"/>
      <c r="C1050" s="22"/>
      <c r="D1050" s="22"/>
      <c r="E1050" s="22"/>
      <c r="F1050" s="22"/>
      <c r="G1050" s="22"/>
      <c r="H1050" s="1"/>
      <c r="I1050" s="25"/>
      <c r="J1050" s="26"/>
      <c r="K1050" s="14"/>
      <c r="L1050" s="11"/>
    </row>
    <row r="1051" spans="2:12" x14ac:dyDescent="0.2">
      <c r="B1051" s="22"/>
      <c r="C1051" s="22"/>
      <c r="D1051" s="22"/>
      <c r="E1051" s="22"/>
      <c r="F1051" s="22"/>
      <c r="G1051" s="22"/>
      <c r="H1051" s="22"/>
      <c r="I1051" s="22"/>
      <c r="J1051" s="22"/>
      <c r="K1051" s="22"/>
      <c r="L1051" s="11"/>
    </row>
    <row r="1052" spans="2:12" x14ac:dyDescent="0.2">
      <c r="B1052" s="22"/>
      <c r="C1052" s="22"/>
      <c r="D1052" s="22"/>
      <c r="E1052" s="22"/>
      <c r="F1052" s="22"/>
      <c r="G1052" s="22"/>
      <c r="H1052" s="1"/>
      <c r="I1052" s="25"/>
      <c r="J1052" s="26"/>
      <c r="K1052" s="14"/>
      <c r="L1052" s="11"/>
    </row>
    <row r="1053" spans="2:12" x14ac:dyDescent="0.2">
      <c r="B1053" s="22"/>
      <c r="C1053" s="22"/>
      <c r="D1053" s="22"/>
      <c r="E1053" s="22"/>
      <c r="F1053" s="22"/>
      <c r="G1053" s="22"/>
      <c r="H1053" s="22"/>
      <c r="I1053" s="22"/>
      <c r="J1053" s="22"/>
      <c r="K1053" s="22"/>
      <c r="L1053" s="11"/>
    </row>
    <row r="1054" spans="2:12" ht="14.25" customHeight="1" x14ac:dyDescent="0.2">
      <c r="B1054" s="24"/>
      <c r="C1054" s="24"/>
      <c r="D1054" s="24"/>
      <c r="E1054" s="24"/>
      <c r="F1054" s="24"/>
      <c r="G1054" s="24"/>
      <c r="H1054" s="1"/>
      <c r="I1054" s="25"/>
      <c r="J1054" s="26"/>
      <c r="K1054" s="14"/>
      <c r="L1054" s="11"/>
    </row>
    <row r="1055" spans="2:12" x14ac:dyDescent="0.2">
      <c r="B1055" s="22"/>
      <c r="C1055" s="22"/>
      <c r="D1055" s="22"/>
      <c r="E1055" s="22"/>
      <c r="F1055" s="22"/>
      <c r="G1055" s="22"/>
      <c r="H1055" s="22"/>
      <c r="I1055" s="22"/>
      <c r="J1055" s="22"/>
      <c r="K1055" s="22"/>
      <c r="L1055" s="11"/>
    </row>
    <row r="1056" spans="2:12" x14ac:dyDescent="0.2">
      <c r="B1056" s="22"/>
      <c r="C1056" s="22"/>
      <c r="D1056" s="22"/>
      <c r="E1056" s="22"/>
      <c r="F1056" s="22"/>
      <c r="G1056" s="22"/>
      <c r="H1056" s="1"/>
      <c r="I1056" s="25"/>
      <c r="J1056" s="26"/>
      <c r="K1056" s="14"/>
      <c r="L1056" s="11"/>
    </row>
    <row r="1057" spans="2:12" x14ac:dyDescent="0.2">
      <c r="B1057" s="22"/>
      <c r="C1057" s="22"/>
      <c r="D1057" s="22"/>
      <c r="E1057" s="22"/>
      <c r="F1057" s="22"/>
      <c r="G1057" s="22"/>
      <c r="H1057" s="22"/>
      <c r="I1057" s="22"/>
      <c r="J1057" s="22"/>
      <c r="K1057" s="22"/>
      <c r="L1057" s="11"/>
    </row>
    <row r="1058" spans="2:12" x14ac:dyDescent="0.2">
      <c r="B1058" s="22"/>
      <c r="C1058" s="22"/>
      <c r="D1058" s="22"/>
      <c r="E1058" s="22"/>
      <c r="F1058" s="22"/>
      <c r="G1058" s="22"/>
      <c r="H1058" s="1"/>
      <c r="I1058" s="25"/>
      <c r="J1058" s="26"/>
      <c r="K1058" s="14"/>
      <c r="L1058" s="11"/>
    </row>
    <row r="1059" spans="2:12" x14ac:dyDescent="0.2">
      <c r="B1059" s="22"/>
      <c r="C1059" s="22"/>
      <c r="D1059" s="22"/>
      <c r="E1059" s="22"/>
      <c r="F1059" s="22"/>
      <c r="G1059" s="22"/>
      <c r="H1059" s="22"/>
      <c r="I1059" s="22"/>
      <c r="J1059" s="22"/>
      <c r="K1059" s="22"/>
      <c r="L1059" s="11"/>
    </row>
    <row r="1060" spans="2:12" x14ac:dyDescent="0.2">
      <c r="B1060" s="22"/>
      <c r="C1060" s="22"/>
      <c r="D1060" s="22"/>
      <c r="E1060" s="22"/>
      <c r="F1060" s="22"/>
      <c r="G1060" s="22"/>
      <c r="H1060" s="1"/>
      <c r="I1060" s="25"/>
      <c r="J1060" s="26"/>
      <c r="K1060" s="14"/>
      <c r="L1060" s="11"/>
    </row>
    <row r="1061" spans="2:12" x14ac:dyDescent="0.2">
      <c r="B1061" s="22"/>
      <c r="C1061" s="22"/>
      <c r="D1061" s="22"/>
      <c r="E1061" s="22"/>
      <c r="F1061" s="22"/>
      <c r="G1061" s="22"/>
      <c r="H1061" s="22"/>
      <c r="I1061" s="22"/>
      <c r="J1061" s="22"/>
      <c r="K1061" s="22"/>
      <c r="L1061" s="11"/>
    </row>
    <row r="1062" spans="2:12" ht="14.25" customHeight="1" x14ac:dyDescent="0.2">
      <c r="B1062" s="24"/>
      <c r="C1062" s="24"/>
      <c r="D1062" s="24"/>
      <c r="E1062" s="24"/>
      <c r="F1062" s="24"/>
      <c r="G1062" s="24"/>
      <c r="H1062" s="1"/>
      <c r="I1062" s="25"/>
      <c r="J1062" s="26"/>
      <c r="K1062" s="14"/>
      <c r="L1062" s="11"/>
    </row>
    <row r="1063" spans="2:12" x14ac:dyDescent="0.2">
      <c r="B1063" s="22"/>
      <c r="C1063" s="22"/>
      <c r="D1063" s="22"/>
      <c r="E1063" s="22"/>
      <c r="F1063" s="22"/>
      <c r="G1063" s="22"/>
      <c r="H1063" s="22"/>
      <c r="I1063" s="22"/>
      <c r="J1063" s="22"/>
      <c r="K1063" s="22"/>
    </row>
    <row r="1064" spans="2:12" ht="14.25" customHeight="1" x14ac:dyDescent="0.2">
      <c r="B1064" s="24"/>
      <c r="C1064" s="24"/>
      <c r="D1064" s="24"/>
      <c r="E1064" s="24"/>
      <c r="F1064" s="24"/>
      <c r="G1064" s="24"/>
      <c r="H1064" s="1"/>
      <c r="I1064" s="37"/>
      <c r="J1064" s="26"/>
      <c r="K1064" s="14"/>
    </row>
    <row r="1065" spans="2:12" x14ac:dyDescent="0.2">
      <c r="B1065" s="22"/>
      <c r="C1065" s="22"/>
      <c r="D1065" s="22"/>
      <c r="E1065" s="22"/>
      <c r="F1065" s="22"/>
      <c r="G1065" s="22"/>
      <c r="H1065" s="22"/>
      <c r="I1065" s="22"/>
      <c r="J1065" s="22"/>
      <c r="K1065" s="22"/>
    </row>
    <row r="1066" spans="2:12" x14ac:dyDescent="0.2">
      <c r="B1066" s="22"/>
      <c r="C1066" s="22"/>
      <c r="D1066" s="22"/>
      <c r="E1066" s="22"/>
      <c r="F1066" s="22"/>
      <c r="G1066" s="22"/>
      <c r="H1066" s="1"/>
      <c r="I1066" s="21"/>
      <c r="J1066" s="21"/>
      <c r="K1066" s="11"/>
    </row>
    <row r="1067" spans="2:12" x14ac:dyDescent="0.2">
      <c r="B1067" s="22"/>
      <c r="C1067" s="22"/>
      <c r="D1067" s="22"/>
      <c r="E1067" s="22"/>
      <c r="F1067" s="22"/>
      <c r="G1067" s="22"/>
      <c r="H1067" s="1"/>
      <c r="I1067" s="21"/>
      <c r="J1067" s="21"/>
      <c r="K1067" s="11"/>
    </row>
    <row r="1068" spans="2:12" x14ac:dyDescent="0.2">
      <c r="B1068" s="5" t="s">
        <v>24</v>
      </c>
      <c r="C1068" s="5"/>
      <c r="D1068" s="5"/>
      <c r="E1068" s="5"/>
      <c r="F1068" s="7" t="s">
        <v>25</v>
      </c>
      <c r="G1068" s="5"/>
      <c r="H1068" s="5"/>
      <c r="K1068" s="16">
        <f>SUM(K1048,K1050,K1052,K1054,K1056,K1058,K1060,K1062,K1064)</f>
        <v>0</v>
      </c>
    </row>
    <row r="1069" spans="2:12" x14ac:dyDescent="0.2">
      <c r="B1069" s="5"/>
      <c r="C1069" s="5"/>
      <c r="D1069" s="5"/>
      <c r="E1069" s="5"/>
      <c r="F1069" s="7" t="s">
        <v>26</v>
      </c>
      <c r="G1069" s="5"/>
      <c r="H1069" s="5"/>
      <c r="K1069" s="16">
        <v>0</v>
      </c>
    </row>
    <row r="1070" spans="2:12" x14ac:dyDescent="0.2">
      <c r="B1070" s="5"/>
      <c r="C1070" s="5"/>
      <c r="D1070" s="5"/>
      <c r="E1070" s="5"/>
      <c r="F1070" s="7" t="s">
        <v>27</v>
      </c>
      <c r="G1070" s="5"/>
      <c r="H1070" s="5"/>
      <c r="K1070" s="16">
        <f>K1068+K1069</f>
        <v>0</v>
      </c>
    </row>
    <row r="1071" spans="2:12" x14ac:dyDescent="0.2">
      <c r="B1071" s="28" t="s">
        <v>28</v>
      </c>
      <c r="C1071" s="28"/>
      <c r="D1071" s="28"/>
      <c r="E1071" s="5"/>
      <c r="F1071" s="7" t="s">
        <v>29</v>
      </c>
      <c r="G1071" s="5"/>
      <c r="H1071" s="13">
        <v>0.16</v>
      </c>
      <c r="K1071" s="17">
        <f>K1070*0.16</f>
        <v>0</v>
      </c>
    </row>
    <row r="1072" spans="2:12" x14ac:dyDescent="0.2">
      <c r="B1072" s="5"/>
      <c r="C1072" s="5"/>
      <c r="D1072" s="5"/>
      <c r="E1072" s="5"/>
      <c r="F1072" s="7" t="s">
        <v>30</v>
      </c>
      <c r="G1072" s="5"/>
      <c r="H1072" s="5"/>
      <c r="K1072" s="17">
        <f>K1070*1.16</f>
        <v>0</v>
      </c>
    </row>
    <row r="1076" spans="1:12" ht="13.5" customHeight="1" x14ac:dyDescent="0.2">
      <c r="A1076" s="35" t="s">
        <v>34</v>
      </c>
      <c r="B1076" s="35"/>
      <c r="C1076" s="35"/>
      <c r="D1076" s="35"/>
      <c r="E1076" s="35"/>
      <c r="F1076" s="35"/>
      <c r="G1076" s="35"/>
      <c r="H1076" s="35"/>
      <c r="I1076" s="35"/>
      <c r="J1076" s="35"/>
      <c r="K1076" s="35"/>
      <c r="L1076" s="35"/>
    </row>
    <row r="1077" spans="1:12" x14ac:dyDescent="0.2">
      <c r="A1077" s="35"/>
      <c r="B1077" s="35"/>
      <c r="C1077" s="35"/>
      <c r="D1077" s="35"/>
      <c r="E1077" s="35"/>
      <c r="F1077" s="35"/>
      <c r="G1077" s="35"/>
      <c r="H1077" s="35"/>
      <c r="I1077" s="35"/>
      <c r="J1077" s="35"/>
      <c r="K1077" s="35"/>
      <c r="L1077" s="35"/>
    </row>
    <row r="1078" spans="1:12" ht="15" customHeight="1" x14ac:dyDescent="0.2">
      <c r="A1078" s="36" t="s">
        <v>31</v>
      </c>
      <c r="B1078" s="36"/>
      <c r="C1078" s="36"/>
      <c r="D1078" s="36"/>
      <c r="E1078" s="36"/>
      <c r="F1078" s="36"/>
      <c r="G1078" s="36"/>
      <c r="H1078" s="36"/>
      <c r="I1078" s="36"/>
      <c r="J1078" s="36"/>
      <c r="K1078" s="36"/>
      <c r="L1078" s="36"/>
    </row>
    <row r="1079" spans="1:12" ht="15" customHeight="1" x14ac:dyDescent="0.2"/>
    <row r="1080" spans="1:12" x14ac:dyDescent="0.2">
      <c r="C1080" s="2" t="s">
        <v>32</v>
      </c>
      <c r="D1080" s="2"/>
      <c r="E1080" s="2"/>
      <c r="F1080" s="2"/>
      <c r="G1080" s="2"/>
      <c r="H1080" s="2"/>
      <c r="I1080" s="2"/>
      <c r="J1080" s="2"/>
      <c r="K1080" s="2"/>
      <c r="L1080" s="2"/>
    </row>
    <row r="1081" spans="1:12" x14ac:dyDescent="0.2">
      <c r="D1081" s="2"/>
      <c r="E1081" s="2"/>
      <c r="F1081" s="2"/>
      <c r="G1081" s="2"/>
      <c r="H1081" s="2"/>
      <c r="J1081" s="2"/>
      <c r="K1081" s="2"/>
    </row>
    <row r="1082" spans="1:12" x14ac:dyDescent="0.2">
      <c r="C1082" s="2"/>
      <c r="I1082" s="2"/>
    </row>
    <row r="1084" spans="1:12" x14ac:dyDescent="0.2">
      <c r="K1084" s="38"/>
    </row>
    <row r="1085" spans="1:12" x14ac:dyDescent="0.2">
      <c r="K1085" s="39"/>
    </row>
    <row r="1088" spans="1:12" x14ac:dyDescent="0.2">
      <c r="C1088" s="20" t="s">
        <v>0</v>
      </c>
      <c r="D1088" s="20"/>
      <c r="E1088" s="5"/>
      <c r="F1088" s="6"/>
      <c r="H1088" s="5" t="s">
        <v>1</v>
      </c>
      <c r="I1088" s="4"/>
    </row>
    <row r="1089" spans="2:12" ht="20.25" customHeight="1" x14ac:dyDescent="0.2"/>
    <row r="1090" spans="2:12" ht="14.25" customHeight="1" x14ac:dyDescent="0.2">
      <c r="B1090" s="5" t="s">
        <v>2</v>
      </c>
      <c r="C1090" s="34" t="s">
        <v>3</v>
      </c>
      <c r="D1090" s="34"/>
      <c r="E1090" s="5"/>
      <c r="F1090" s="5" t="s">
        <v>4</v>
      </c>
      <c r="G1090" s="5"/>
      <c r="H1090" s="8" t="s">
        <v>5</v>
      </c>
      <c r="J1090" s="7" t="s">
        <v>6</v>
      </c>
      <c r="K1090" s="19"/>
    </row>
    <row r="1091" spans="2:12" x14ac:dyDescent="0.2">
      <c r="B1091" s="5" t="s">
        <v>7</v>
      </c>
      <c r="C1091" s="23" t="s">
        <v>8</v>
      </c>
      <c r="D1091" s="23"/>
      <c r="E1091" s="7" t="s">
        <v>9</v>
      </c>
      <c r="F1091" s="5"/>
      <c r="G1091" s="5"/>
      <c r="H1091" s="5"/>
      <c r="I1091" s="5"/>
      <c r="J1091" s="7" t="s">
        <v>10</v>
      </c>
      <c r="K1091" s="19"/>
      <c r="L1091" s="5"/>
    </row>
    <row r="1092" spans="2:12" x14ac:dyDescent="0.2">
      <c r="B1092" s="28" t="s">
        <v>33</v>
      </c>
      <c r="C1092" s="28"/>
      <c r="D1092" s="6" t="s">
        <v>11</v>
      </c>
      <c r="E1092" s="7" t="s">
        <v>12</v>
      </c>
      <c r="F1092" s="8" t="s">
        <v>13</v>
      </c>
      <c r="G1092" s="7" t="s">
        <v>14</v>
      </c>
      <c r="H1092" s="9" t="s">
        <v>15</v>
      </c>
      <c r="I1092" s="5"/>
      <c r="J1092" s="5"/>
      <c r="K1092" s="5"/>
      <c r="L1092" s="5"/>
    </row>
    <row r="1093" spans="2:12" ht="14.25" customHeight="1" x14ac:dyDescent="0.2">
      <c r="B1093" s="5" t="s">
        <v>16</v>
      </c>
      <c r="C1093" s="27" t="s">
        <v>17</v>
      </c>
      <c r="D1093" s="27"/>
      <c r="E1093" s="27"/>
      <c r="F1093" s="27"/>
      <c r="G1093" s="27"/>
      <c r="H1093" s="5"/>
      <c r="I1093" s="5"/>
      <c r="J1093" s="5"/>
      <c r="K1093" s="5"/>
      <c r="L1093" s="5"/>
    </row>
    <row r="1094" spans="2:12" x14ac:dyDescent="0.2">
      <c r="B1094" s="5"/>
      <c r="C1094" s="27" t="s">
        <v>18</v>
      </c>
      <c r="D1094" s="27"/>
      <c r="E1094" s="27"/>
      <c r="F1094" s="27"/>
      <c r="G1094" s="27"/>
      <c r="H1094" s="5"/>
      <c r="I1094" s="5"/>
      <c r="J1094" s="5"/>
      <c r="K1094" s="5"/>
      <c r="L1094" s="5"/>
    </row>
    <row r="1095" spans="2:12" ht="9" customHeight="1" x14ac:dyDescent="0.2">
      <c r="B1095" s="5" t="s">
        <v>19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</row>
    <row r="1096" spans="2:12" x14ac:dyDescent="0.2">
      <c r="B1096" s="29" t="s">
        <v>20</v>
      </c>
      <c r="C1096" s="29"/>
      <c r="D1096" s="29"/>
      <c r="E1096" s="29"/>
      <c r="F1096" s="29"/>
      <c r="G1096" s="29"/>
      <c r="H1096" s="10" t="s">
        <v>21</v>
      </c>
      <c r="I1096" s="30" t="s">
        <v>22</v>
      </c>
      <c r="J1096" s="31"/>
      <c r="K1096" s="10" t="s">
        <v>23</v>
      </c>
      <c r="L1096" s="12"/>
    </row>
    <row r="1097" spans="2:12" ht="14.25" customHeight="1" x14ac:dyDescent="0.2">
      <c r="B1097" s="32"/>
      <c r="C1097" s="32"/>
      <c r="D1097" s="32"/>
      <c r="E1097" s="32"/>
      <c r="F1097" s="32"/>
      <c r="G1097" s="32"/>
      <c r="H1097" s="1"/>
      <c r="I1097" s="33"/>
      <c r="J1097" s="33"/>
      <c r="K1097" s="18"/>
      <c r="L1097" s="11"/>
    </row>
    <row r="1098" spans="2:12" x14ac:dyDescent="0.2">
      <c r="B1098" s="22"/>
      <c r="C1098" s="22"/>
      <c r="D1098" s="22"/>
      <c r="E1098" s="22"/>
      <c r="F1098" s="22"/>
      <c r="G1098" s="22"/>
      <c r="H1098" s="22"/>
      <c r="I1098" s="22"/>
      <c r="J1098" s="22"/>
      <c r="K1098" s="22"/>
      <c r="L1098" s="11"/>
    </row>
    <row r="1099" spans="2:12" x14ac:dyDescent="0.2">
      <c r="B1099" s="22"/>
      <c r="C1099" s="22"/>
      <c r="D1099" s="22"/>
      <c r="E1099" s="22"/>
      <c r="F1099" s="22"/>
      <c r="G1099" s="22"/>
      <c r="H1099" s="1"/>
      <c r="I1099" s="25"/>
      <c r="J1099" s="26"/>
      <c r="K1099" s="14"/>
      <c r="L1099" s="11"/>
    </row>
    <row r="1100" spans="2:12" x14ac:dyDescent="0.2">
      <c r="B1100" s="22"/>
      <c r="C1100" s="22"/>
      <c r="D1100" s="22"/>
      <c r="E1100" s="22"/>
      <c r="F1100" s="22"/>
      <c r="G1100" s="22"/>
      <c r="H1100" s="22"/>
      <c r="I1100" s="22"/>
      <c r="J1100" s="22"/>
      <c r="K1100" s="22"/>
      <c r="L1100" s="11"/>
    </row>
    <row r="1101" spans="2:12" x14ac:dyDescent="0.2">
      <c r="B1101" s="22"/>
      <c r="C1101" s="22"/>
      <c r="D1101" s="22"/>
      <c r="E1101" s="22"/>
      <c r="F1101" s="22"/>
      <c r="G1101" s="22"/>
      <c r="H1101" s="1"/>
      <c r="I1101" s="25"/>
      <c r="J1101" s="26"/>
      <c r="K1101" s="14"/>
      <c r="L1101" s="11"/>
    </row>
    <row r="1102" spans="2:12" x14ac:dyDescent="0.2">
      <c r="B1102" s="22"/>
      <c r="C1102" s="22"/>
      <c r="D1102" s="22"/>
      <c r="E1102" s="22"/>
      <c r="F1102" s="22"/>
      <c r="G1102" s="22"/>
      <c r="H1102" s="22"/>
      <c r="I1102" s="22"/>
      <c r="J1102" s="22"/>
      <c r="K1102" s="22"/>
      <c r="L1102" s="11"/>
    </row>
    <row r="1103" spans="2:12" ht="14.25" customHeight="1" x14ac:dyDescent="0.2">
      <c r="B1103" s="24"/>
      <c r="C1103" s="24"/>
      <c r="D1103" s="24"/>
      <c r="E1103" s="24"/>
      <c r="F1103" s="24"/>
      <c r="G1103" s="24"/>
      <c r="H1103" s="1"/>
      <c r="I1103" s="25"/>
      <c r="J1103" s="26"/>
      <c r="K1103" s="14"/>
      <c r="L1103" s="11"/>
    </row>
    <row r="1104" spans="2:12" x14ac:dyDescent="0.2">
      <c r="B1104" s="22"/>
      <c r="C1104" s="22"/>
      <c r="D1104" s="22"/>
      <c r="E1104" s="22"/>
      <c r="F1104" s="22"/>
      <c r="G1104" s="22"/>
      <c r="H1104" s="22"/>
      <c r="I1104" s="22"/>
      <c r="J1104" s="22"/>
      <c r="K1104" s="22"/>
      <c r="L1104" s="11"/>
    </row>
    <row r="1105" spans="2:12" x14ac:dyDescent="0.2">
      <c r="B1105" s="22"/>
      <c r="C1105" s="22"/>
      <c r="D1105" s="22"/>
      <c r="E1105" s="22"/>
      <c r="F1105" s="22"/>
      <c r="G1105" s="22"/>
      <c r="H1105" s="1"/>
      <c r="I1105" s="25"/>
      <c r="J1105" s="26"/>
      <c r="K1105" s="14"/>
      <c r="L1105" s="11"/>
    </row>
    <row r="1106" spans="2:12" x14ac:dyDescent="0.2">
      <c r="B1106" s="22"/>
      <c r="C1106" s="22"/>
      <c r="D1106" s="22"/>
      <c r="E1106" s="22"/>
      <c r="F1106" s="22"/>
      <c r="G1106" s="22"/>
      <c r="H1106" s="22"/>
      <c r="I1106" s="22"/>
      <c r="J1106" s="22"/>
      <c r="K1106" s="22"/>
      <c r="L1106" s="11"/>
    </row>
    <row r="1107" spans="2:12" x14ac:dyDescent="0.2">
      <c r="B1107" s="22"/>
      <c r="C1107" s="22"/>
      <c r="D1107" s="22"/>
      <c r="E1107" s="22"/>
      <c r="F1107" s="22"/>
      <c r="G1107" s="22"/>
      <c r="H1107" s="1"/>
      <c r="I1107" s="25"/>
      <c r="J1107" s="26"/>
      <c r="K1107" s="14"/>
      <c r="L1107" s="11"/>
    </row>
    <row r="1108" spans="2:12" x14ac:dyDescent="0.2">
      <c r="B1108" s="22"/>
      <c r="C1108" s="22"/>
      <c r="D1108" s="22"/>
      <c r="E1108" s="22"/>
      <c r="F1108" s="22"/>
      <c r="G1108" s="22"/>
      <c r="H1108" s="22"/>
      <c r="I1108" s="22"/>
      <c r="J1108" s="22"/>
      <c r="K1108" s="22"/>
      <c r="L1108" s="11"/>
    </row>
    <row r="1109" spans="2:12" x14ac:dyDescent="0.2">
      <c r="B1109" s="22"/>
      <c r="C1109" s="22"/>
      <c r="D1109" s="22"/>
      <c r="E1109" s="22"/>
      <c r="F1109" s="22"/>
      <c r="G1109" s="22"/>
      <c r="H1109" s="1"/>
      <c r="I1109" s="25"/>
      <c r="J1109" s="26"/>
      <c r="K1109" s="14"/>
      <c r="L1109" s="11"/>
    </row>
    <row r="1110" spans="2:12" x14ac:dyDescent="0.2">
      <c r="B1110" s="22"/>
      <c r="C1110" s="22"/>
      <c r="D1110" s="22"/>
      <c r="E1110" s="22"/>
      <c r="F1110" s="22"/>
      <c r="G1110" s="22"/>
      <c r="H1110" s="22"/>
      <c r="I1110" s="22"/>
      <c r="J1110" s="22"/>
      <c r="K1110" s="22"/>
      <c r="L1110" s="11"/>
    </row>
    <row r="1111" spans="2:12" ht="14.25" customHeight="1" x14ac:dyDescent="0.2">
      <c r="B1111" s="24"/>
      <c r="C1111" s="24"/>
      <c r="D1111" s="24"/>
      <c r="E1111" s="24"/>
      <c r="F1111" s="24"/>
      <c r="G1111" s="24"/>
      <c r="H1111" s="1"/>
      <c r="I1111" s="25"/>
      <c r="J1111" s="26"/>
      <c r="K1111" s="14"/>
      <c r="L1111" s="11"/>
    </row>
    <row r="1112" spans="2:12" x14ac:dyDescent="0.2">
      <c r="B1112" s="22"/>
      <c r="C1112" s="22"/>
      <c r="D1112" s="22"/>
      <c r="E1112" s="22"/>
      <c r="F1112" s="22"/>
      <c r="G1112" s="22"/>
      <c r="H1112" s="22"/>
      <c r="I1112" s="22"/>
      <c r="J1112" s="22"/>
      <c r="K1112" s="22"/>
    </row>
    <row r="1113" spans="2:12" ht="14.25" customHeight="1" x14ac:dyDescent="0.2">
      <c r="B1113" s="24"/>
      <c r="C1113" s="24"/>
      <c r="D1113" s="24"/>
      <c r="E1113" s="24"/>
      <c r="F1113" s="24"/>
      <c r="G1113" s="24"/>
      <c r="H1113" s="1"/>
      <c r="I1113" s="37"/>
      <c r="J1113" s="26"/>
      <c r="K1113" s="14"/>
    </row>
    <row r="1114" spans="2:12" x14ac:dyDescent="0.2">
      <c r="B1114" s="22"/>
      <c r="C1114" s="22"/>
      <c r="D1114" s="22"/>
      <c r="E1114" s="22"/>
      <c r="F1114" s="22"/>
      <c r="G1114" s="22"/>
      <c r="H1114" s="22"/>
      <c r="I1114" s="22"/>
      <c r="J1114" s="22"/>
      <c r="K1114" s="22"/>
    </row>
    <row r="1115" spans="2:12" x14ac:dyDescent="0.2">
      <c r="B1115" s="22"/>
      <c r="C1115" s="22"/>
      <c r="D1115" s="22"/>
      <c r="E1115" s="22"/>
      <c r="F1115" s="22"/>
      <c r="G1115" s="22"/>
      <c r="H1115" s="1"/>
      <c r="I1115" s="21"/>
      <c r="J1115" s="21"/>
      <c r="K1115" s="11"/>
    </row>
    <row r="1116" spans="2:12" x14ac:dyDescent="0.2">
      <c r="B1116" s="22"/>
      <c r="C1116" s="22"/>
      <c r="D1116" s="22"/>
      <c r="E1116" s="22"/>
      <c r="F1116" s="22"/>
      <c r="G1116" s="22"/>
      <c r="H1116" s="1"/>
      <c r="I1116" s="21"/>
      <c r="J1116" s="21"/>
      <c r="K1116" s="11"/>
    </row>
    <row r="1117" spans="2:12" x14ac:dyDescent="0.2">
      <c r="B1117" s="5" t="s">
        <v>24</v>
      </c>
      <c r="C1117" s="5"/>
      <c r="D1117" s="5"/>
      <c r="E1117" s="5"/>
      <c r="F1117" s="7" t="s">
        <v>25</v>
      </c>
      <c r="G1117" s="5"/>
      <c r="H1117" s="5"/>
      <c r="K1117" s="16">
        <f>SUM(K1097,K1099,K1101,K1103,K1105,K1107,K1109,K1111,K1113)</f>
        <v>0</v>
      </c>
    </row>
    <row r="1118" spans="2:12" x14ac:dyDescent="0.2">
      <c r="B1118" s="5"/>
      <c r="C1118" s="5"/>
      <c r="D1118" s="5"/>
      <c r="E1118" s="5"/>
      <c r="F1118" s="7" t="s">
        <v>26</v>
      </c>
      <c r="G1118" s="5"/>
      <c r="H1118" s="5"/>
      <c r="K1118" s="16">
        <v>0</v>
      </c>
    </row>
    <row r="1119" spans="2:12" x14ac:dyDescent="0.2">
      <c r="B1119" s="5"/>
      <c r="C1119" s="5"/>
      <c r="D1119" s="5"/>
      <c r="E1119" s="5"/>
      <c r="F1119" s="7" t="s">
        <v>27</v>
      </c>
      <c r="G1119" s="5"/>
      <c r="H1119" s="5"/>
      <c r="K1119" s="16">
        <f>K1117+K1118</f>
        <v>0</v>
      </c>
    </row>
    <row r="1120" spans="2:12" x14ac:dyDescent="0.2">
      <c r="B1120" s="28" t="s">
        <v>28</v>
      </c>
      <c r="C1120" s="28"/>
      <c r="D1120" s="28"/>
      <c r="E1120" s="5"/>
      <c r="F1120" s="7" t="s">
        <v>29</v>
      </c>
      <c r="G1120" s="5"/>
      <c r="H1120" s="13">
        <v>0.16</v>
      </c>
      <c r="K1120" s="17">
        <f>K1119*0.16</f>
        <v>0</v>
      </c>
    </row>
    <row r="1121" spans="1:15" x14ac:dyDescent="0.2">
      <c r="B1121" s="5"/>
      <c r="C1121" s="5"/>
      <c r="D1121" s="5"/>
      <c r="E1121" s="5"/>
      <c r="F1121" s="7" t="s">
        <v>30</v>
      </c>
      <c r="G1121" s="5"/>
      <c r="H1121" s="5"/>
      <c r="K1121" s="17">
        <f>K1119*1.16</f>
        <v>0</v>
      </c>
    </row>
    <row r="1125" spans="1:15" ht="13.5" customHeight="1" x14ac:dyDescent="0.2">
      <c r="A1125" s="35" t="s">
        <v>34</v>
      </c>
      <c r="B1125" s="35"/>
      <c r="C1125" s="35"/>
      <c r="D1125" s="35"/>
      <c r="E1125" s="35"/>
      <c r="F1125" s="35"/>
      <c r="G1125" s="35"/>
      <c r="H1125" s="35"/>
      <c r="I1125" s="35"/>
      <c r="J1125" s="35"/>
      <c r="K1125" s="35"/>
      <c r="L1125" s="35"/>
    </row>
    <row r="1126" spans="1:15" x14ac:dyDescent="0.2">
      <c r="A1126" s="35"/>
      <c r="B1126" s="35"/>
      <c r="C1126" s="35"/>
      <c r="D1126" s="35"/>
      <c r="E1126" s="35"/>
      <c r="F1126" s="35"/>
      <c r="G1126" s="35"/>
      <c r="H1126" s="35"/>
      <c r="I1126" s="35"/>
      <c r="J1126" s="35"/>
      <c r="K1126" s="35"/>
      <c r="L1126" s="35"/>
    </row>
    <row r="1127" spans="1:15" ht="15" customHeight="1" x14ac:dyDescent="0.2">
      <c r="A1127" s="36" t="s">
        <v>31</v>
      </c>
      <c r="B1127" s="36"/>
      <c r="C1127" s="36"/>
      <c r="D1127" s="36"/>
      <c r="E1127" s="36"/>
      <c r="F1127" s="36"/>
      <c r="G1127" s="36"/>
      <c r="H1127" s="36"/>
      <c r="I1127" s="36"/>
      <c r="J1127" s="36"/>
      <c r="K1127" s="36"/>
      <c r="L1127" s="36"/>
    </row>
    <row r="1128" spans="1:15" ht="15" customHeight="1" x14ac:dyDescent="0.2"/>
    <row r="1129" spans="1:15" x14ac:dyDescent="0.2">
      <c r="C1129" s="2" t="s">
        <v>32</v>
      </c>
      <c r="D1129" s="2"/>
      <c r="E1129" s="2"/>
      <c r="F1129" s="2"/>
      <c r="G1129" s="2"/>
      <c r="H1129" s="2"/>
      <c r="I1129" s="2"/>
      <c r="J1129" s="2"/>
      <c r="K1129" s="2"/>
      <c r="L1129" s="2"/>
    </row>
    <row r="1130" spans="1:15" x14ac:dyDescent="0.2">
      <c r="D1130" s="2"/>
      <c r="E1130" s="2"/>
      <c r="F1130" s="2"/>
      <c r="G1130" s="2"/>
      <c r="H1130" s="2"/>
      <c r="J1130" s="2"/>
      <c r="K1130" s="2"/>
    </row>
    <row r="1131" spans="1:15" x14ac:dyDescent="0.2">
      <c r="C1131" s="2"/>
      <c r="I1131" s="2"/>
      <c r="O1131" s="3" t="s">
        <v>35</v>
      </c>
    </row>
    <row r="1133" spans="1:15" x14ac:dyDescent="0.2">
      <c r="K1133" s="38"/>
    </row>
    <row r="1134" spans="1:15" x14ac:dyDescent="0.2">
      <c r="K1134" s="39"/>
    </row>
    <row r="1137" spans="2:12" x14ac:dyDescent="0.2">
      <c r="C1137" s="20" t="s">
        <v>0</v>
      </c>
      <c r="D1137" s="20"/>
      <c r="E1137" s="5"/>
      <c r="F1137" s="6"/>
      <c r="H1137" s="5" t="s">
        <v>1</v>
      </c>
      <c r="I1137" s="4"/>
    </row>
    <row r="1138" spans="2:12" ht="20.25" customHeight="1" x14ac:dyDescent="0.2"/>
    <row r="1139" spans="2:12" ht="14.25" customHeight="1" x14ac:dyDescent="0.2">
      <c r="B1139" s="5" t="s">
        <v>2</v>
      </c>
      <c r="C1139" s="34" t="s">
        <v>3</v>
      </c>
      <c r="D1139" s="34"/>
      <c r="E1139" s="5"/>
      <c r="F1139" s="5" t="s">
        <v>4</v>
      </c>
      <c r="G1139" s="5"/>
      <c r="H1139" s="8" t="s">
        <v>5</v>
      </c>
      <c r="J1139" s="7" t="s">
        <v>6</v>
      </c>
      <c r="K1139" s="19"/>
    </row>
    <row r="1140" spans="2:12" x14ac:dyDescent="0.2">
      <c r="B1140" s="5" t="s">
        <v>7</v>
      </c>
      <c r="C1140" s="23" t="s">
        <v>8</v>
      </c>
      <c r="D1140" s="23"/>
      <c r="E1140" s="7" t="s">
        <v>9</v>
      </c>
      <c r="F1140" s="5"/>
      <c r="G1140" s="5"/>
      <c r="H1140" s="5"/>
      <c r="I1140" s="5"/>
      <c r="J1140" s="7" t="s">
        <v>10</v>
      </c>
      <c r="K1140" s="19"/>
      <c r="L1140" s="5"/>
    </row>
    <row r="1141" spans="2:12" x14ac:dyDescent="0.2">
      <c r="B1141" s="28" t="s">
        <v>33</v>
      </c>
      <c r="C1141" s="28"/>
      <c r="D1141" s="6" t="s">
        <v>11</v>
      </c>
      <c r="E1141" s="7" t="s">
        <v>12</v>
      </c>
      <c r="F1141" s="8" t="s">
        <v>13</v>
      </c>
      <c r="G1141" s="7" t="s">
        <v>14</v>
      </c>
      <c r="H1141" s="9" t="s">
        <v>15</v>
      </c>
      <c r="I1141" s="5"/>
      <c r="J1141" s="5"/>
      <c r="K1141" s="5"/>
      <c r="L1141" s="5"/>
    </row>
    <row r="1142" spans="2:12" ht="14.25" customHeight="1" x14ac:dyDescent="0.2">
      <c r="B1142" s="5" t="s">
        <v>16</v>
      </c>
      <c r="C1142" s="27" t="s">
        <v>17</v>
      </c>
      <c r="D1142" s="27"/>
      <c r="E1142" s="27"/>
      <c r="F1142" s="27"/>
      <c r="G1142" s="27"/>
      <c r="H1142" s="5"/>
      <c r="I1142" s="5"/>
      <c r="J1142" s="5"/>
      <c r="K1142" s="5"/>
      <c r="L1142" s="5"/>
    </row>
    <row r="1143" spans="2:12" x14ac:dyDescent="0.2">
      <c r="B1143" s="5"/>
      <c r="C1143" s="27" t="s">
        <v>18</v>
      </c>
      <c r="D1143" s="27"/>
      <c r="E1143" s="27"/>
      <c r="F1143" s="27"/>
      <c r="G1143" s="27"/>
      <c r="H1143" s="5"/>
      <c r="I1143" s="5"/>
      <c r="J1143" s="5"/>
      <c r="K1143" s="5"/>
      <c r="L1143" s="5"/>
    </row>
    <row r="1144" spans="2:12" ht="9" customHeight="1" x14ac:dyDescent="0.2">
      <c r="B1144" s="5" t="s">
        <v>19</v>
      </c>
      <c r="C1144" s="5"/>
      <c r="D1144" s="5"/>
      <c r="E1144" s="5"/>
      <c r="F1144" s="5"/>
      <c r="G1144" s="5"/>
      <c r="H1144" s="5"/>
      <c r="I1144" s="5"/>
      <c r="J1144" s="5"/>
      <c r="K1144" s="5"/>
      <c r="L1144" s="5"/>
    </row>
    <row r="1145" spans="2:12" x14ac:dyDescent="0.2">
      <c r="B1145" s="29" t="s">
        <v>20</v>
      </c>
      <c r="C1145" s="29"/>
      <c r="D1145" s="29"/>
      <c r="E1145" s="29"/>
      <c r="F1145" s="29"/>
      <c r="G1145" s="29"/>
      <c r="H1145" s="10" t="s">
        <v>21</v>
      </c>
      <c r="I1145" s="30" t="s">
        <v>22</v>
      </c>
      <c r="J1145" s="31"/>
      <c r="K1145" s="10" t="s">
        <v>23</v>
      </c>
      <c r="L1145" s="12"/>
    </row>
    <row r="1146" spans="2:12" ht="14.25" customHeight="1" x14ac:dyDescent="0.2">
      <c r="B1146" s="32"/>
      <c r="C1146" s="32"/>
      <c r="D1146" s="32"/>
      <c r="E1146" s="32"/>
      <c r="F1146" s="32"/>
      <c r="G1146" s="32"/>
      <c r="H1146" s="1"/>
      <c r="I1146" s="33"/>
      <c r="J1146" s="33"/>
      <c r="K1146" s="18"/>
      <c r="L1146" s="11"/>
    </row>
    <row r="1147" spans="2:12" x14ac:dyDescent="0.2">
      <c r="B1147" s="22"/>
      <c r="C1147" s="22"/>
      <c r="D1147" s="22"/>
      <c r="E1147" s="22"/>
      <c r="F1147" s="22"/>
      <c r="G1147" s="22"/>
      <c r="H1147" s="22"/>
      <c r="I1147" s="22"/>
      <c r="J1147" s="22"/>
      <c r="K1147" s="22"/>
      <c r="L1147" s="11"/>
    </row>
    <row r="1148" spans="2:12" x14ac:dyDescent="0.2">
      <c r="B1148" s="22"/>
      <c r="C1148" s="22"/>
      <c r="D1148" s="22"/>
      <c r="E1148" s="22"/>
      <c r="F1148" s="22"/>
      <c r="G1148" s="22"/>
      <c r="H1148" s="1"/>
      <c r="I1148" s="25"/>
      <c r="J1148" s="26"/>
      <c r="K1148" s="14"/>
      <c r="L1148" s="11"/>
    </row>
    <row r="1149" spans="2:12" x14ac:dyDescent="0.2">
      <c r="B1149" s="22"/>
      <c r="C1149" s="22"/>
      <c r="D1149" s="22"/>
      <c r="E1149" s="22"/>
      <c r="F1149" s="22"/>
      <c r="G1149" s="22"/>
      <c r="H1149" s="22"/>
      <c r="I1149" s="22"/>
      <c r="J1149" s="22"/>
      <c r="K1149" s="22"/>
      <c r="L1149" s="11"/>
    </row>
    <row r="1150" spans="2:12" x14ac:dyDescent="0.2">
      <c r="B1150" s="22"/>
      <c r="C1150" s="22"/>
      <c r="D1150" s="22"/>
      <c r="E1150" s="22"/>
      <c r="F1150" s="22"/>
      <c r="G1150" s="22"/>
      <c r="H1150" s="1"/>
      <c r="I1150" s="25"/>
      <c r="J1150" s="26"/>
      <c r="K1150" s="14"/>
      <c r="L1150" s="11"/>
    </row>
    <row r="1151" spans="2:12" x14ac:dyDescent="0.2">
      <c r="B1151" s="22"/>
      <c r="C1151" s="22"/>
      <c r="D1151" s="22"/>
      <c r="E1151" s="22"/>
      <c r="F1151" s="22"/>
      <c r="G1151" s="22"/>
      <c r="H1151" s="22"/>
      <c r="I1151" s="22"/>
      <c r="J1151" s="22"/>
      <c r="K1151" s="22"/>
      <c r="L1151" s="11"/>
    </row>
    <row r="1152" spans="2:12" ht="14.25" customHeight="1" x14ac:dyDescent="0.2">
      <c r="B1152" s="24"/>
      <c r="C1152" s="24"/>
      <c r="D1152" s="24"/>
      <c r="E1152" s="24"/>
      <c r="F1152" s="24"/>
      <c r="G1152" s="24"/>
      <c r="H1152" s="1"/>
      <c r="I1152" s="25"/>
      <c r="J1152" s="26"/>
      <c r="K1152" s="14"/>
      <c r="L1152" s="11"/>
    </row>
    <row r="1153" spans="2:12" x14ac:dyDescent="0.2">
      <c r="B1153" s="22"/>
      <c r="C1153" s="22"/>
      <c r="D1153" s="22"/>
      <c r="E1153" s="22"/>
      <c r="F1153" s="22"/>
      <c r="G1153" s="22"/>
      <c r="H1153" s="22"/>
      <c r="I1153" s="22"/>
      <c r="J1153" s="22"/>
      <c r="K1153" s="22"/>
      <c r="L1153" s="11"/>
    </row>
    <row r="1154" spans="2:12" x14ac:dyDescent="0.2">
      <c r="B1154" s="22"/>
      <c r="C1154" s="22"/>
      <c r="D1154" s="22"/>
      <c r="E1154" s="22"/>
      <c r="F1154" s="22"/>
      <c r="G1154" s="22"/>
      <c r="H1154" s="1"/>
      <c r="I1154" s="25"/>
      <c r="J1154" s="26"/>
      <c r="K1154" s="14"/>
      <c r="L1154" s="11"/>
    </row>
    <row r="1155" spans="2:12" x14ac:dyDescent="0.2">
      <c r="B1155" s="22"/>
      <c r="C1155" s="22"/>
      <c r="D1155" s="22"/>
      <c r="E1155" s="22"/>
      <c r="F1155" s="22"/>
      <c r="G1155" s="22"/>
      <c r="H1155" s="22"/>
      <c r="I1155" s="22"/>
      <c r="J1155" s="22"/>
      <c r="K1155" s="22"/>
      <c r="L1155" s="11"/>
    </row>
    <row r="1156" spans="2:12" x14ac:dyDescent="0.2">
      <c r="B1156" s="22"/>
      <c r="C1156" s="22"/>
      <c r="D1156" s="22"/>
      <c r="E1156" s="22"/>
      <c r="F1156" s="22"/>
      <c r="G1156" s="22"/>
      <c r="H1156" s="1"/>
      <c r="I1156" s="25"/>
      <c r="J1156" s="26"/>
      <c r="K1156" s="14"/>
      <c r="L1156" s="11"/>
    </row>
    <row r="1157" spans="2:12" x14ac:dyDescent="0.2">
      <c r="B1157" s="22"/>
      <c r="C1157" s="22"/>
      <c r="D1157" s="22"/>
      <c r="E1157" s="22"/>
      <c r="F1157" s="22"/>
      <c r="G1157" s="22"/>
      <c r="H1157" s="22"/>
      <c r="I1157" s="22"/>
      <c r="J1157" s="22"/>
      <c r="K1157" s="22"/>
      <c r="L1157" s="11"/>
    </row>
    <row r="1158" spans="2:12" x14ac:dyDescent="0.2">
      <c r="B1158" s="22"/>
      <c r="C1158" s="22"/>
      <c r="D1158" s="22"/>
      <c r="E1158" s="22"/>
      <c r="F1158" s="22"/>
      <c r="G1158" s="22"/>
      <c r="H1158" s="1"/>
      <c r="I1158" s="25"/>
      <c r="J1158" s="26"/>
      <c r="K1158" s="14"/>
      <c r="L1158" s="11"/>
    </row>
    <row r="1159" spans="2:12" x14ac:dyDescent="0.2">
      <c r="B1159" s="22"/>
      <c r="C1159" s="22"/>
      <c r="D1159" s="22"/>
      <c r="E1159" s="22"/>
      <c r="F1159" s="22"/>
      <c r="G1159" s="22"/>
      <c r="H1159" s="22"/>
      <c r="I1159" s="22"/>
      <c r="J1159" s="22"/>
      <c r="K1159" s="22"/>
      <c r="L1159" s="11"/>
    </row>
    <row r="1160" spans="2:12" ht="14.25" customHeight="1" x14ac:dyDescent="0.2">
      <c r="B1160" s="24"/>
      <c r="C1160" s="24"/>
      <c r="D1160" s="24"/>
      <c r="E1160" s="24"/>
      <c r="F1160" s="24"/>
      <c r="G1160" s="24"/>
      <c r="H1160" s="1"/>
      <c r="I1160" s="25"/>
      <c r="J1160" s="26"/>
      <c r="K1160" s="14"/>
      <c r="L1160" s="11"/>
    </row>
    <row r="1161" spans="2:12" x14ac:dyDescent="0.2">
      <c r="B1161" s="22"/>
      <c r="C1161" s="22"/>
      <c r="D1161" s="22"/>
      <c r="E1161" s="22"/>
      <c r="F1161" s="22"/>
      <c r="G1161" s="22"/>
      <c r="H1161" s="22"/>
      <c r="I1161" s="22"/>
      <c r="J1161" s="22"/>
      <c r="K1161" s="22"/>
    </row>
    <row r="1162" spans="2:12" ht="14.25" customHeight="1" x14ac:dyDescent="0.2">
      <c r="B1162" s="24"/>
      <c r="C1162" s="24"/>
      <c r="D1162" s="24"/>
      <c r="E1162" s="24"/>
      <c r="F1162" s="24"/>
      <c r="G1162" s="24"/>
      <c r="H1162" s="1"/>
      <c r="I1162" s="37"/>
      <c r="J1162" s="26"/>
      <c r="K1162" s="14"/>
    </row>
    <row r="1163" spans="2:12" x14ac:dyDescent="0.2">
      <c r="B1163" s="22"/>
      <c r="C1163" s="22"/>
      <c r="D1163" s="22"/>
      <c r="E1163" s="22"/>
      <c r="F1163" s="22"/>
      <c r="G1163" s="22"/>
      <c r="H1163" s="22"/>
      <c r="I1163" s="22"/>
      <c r="J1163" s="22"/>
      <c r="K1163" s="22"/>
    </row>
    <row r="1164" spans="2:12" x14ac:dyDescent="0.2">
      <c r="B1164" s="22"/>
      <c r="C1164" s="22"/>
      <c r="D1164" s="22"/>
      <c r="E1164" s="22"/>
      <c r="F1164" s="22"/>
      <c r="G1164" s="22"/>
      <c r="H1164" s="1"/>
      <c r="I1164" s="21"/>
      <c r="J1164" s="21"/>
      <c r="K1164" s="11"/>
    </row>
    <row r="1165" spans="2:12" x14ac:dyDescent="0.2">
      <c r="B1165" s="22"/>
      <c r="C1165" s="22"/>
      <c r="D1165" s="22"/>
      <c r="E1165" s="22"/>
      <c r="F1165" s="22"/>
      <c r="G1165" s="22"/>
      <c r="H1165" s="1"/>
      <c r="I1165" s="21"/>
      <c r="J1165" s="21"/>
      <c r="K1165" s="11"/>
    </row>
    <row r="1166" spans="2:12" x14ac:dyDescent="0.2">
      <c r="B1166" s="5" t="s">
        <v>24</v>
      </c>
      <c r="C1166" s="5"/>
      <c r="D1166" s="5"/>
      <c r="E1166" s="5"/>
      <c r="F1166" s="7" t="s">
        <v>25</v>
      </c>
      <c r="G1166" s="5"/>
      <c r="H1166" s="5"/>
      <c r="K1166" s="16">
        <f>SUM(K1146,K1148,K1150,K1152,K1154,K1156,K1158,K1160,K1162)</f>
        <v>0</v>
      </c>
    </row>
    <row r="1167" spans="2:12" x14ac:dyDescent="0.2">
      <c r="B1167" s="5"/>
      <c r="C1167" s="5"/>
      <c r="D1167" s="5"/>
      <c r="E1167" s="5"/>
      <c r="F1167" s="7" t="s">
        <v>26</v>
      </c>
      <c r="G1167" s="5"/>
      <c r="H1167" s="5"/>
      <c r="K1167" s="16">
        <v>0</v>
      </c>
    </row>
    <row r="1168" spans="2:12" x14ac:dyDescent="0.2">
      <c r="B1168" s="5"/>
      <c r="C1168" s="5"/>
      <c r="D1168" s="5"/>
      <c r="E1168" s="5"/>
      <c r="F1168" s="7" t="s">
        <v>27</v>
      </c>
      <c r="G1168" s="5"/>
      <c r="H1168" s="5"/>
      <c r="K1168" s="16">
        <f>K1166+K1167</f>
        <v>0</v>
      </c>
    </row>
    <row r="1169" spans="1:12" x14ac:dyDescent="0.2">
      <c r="B1169" s="28" t="s">
        <v>28</v>
      </c>
      <c r="C1169" s="28"/>
      <c r="D1169" s="28"/>
      <c r="E1169" s="5"/>
      <c r="F1169" s="7" t="s">
        <v>29</v>
      </c>
      <c r="G1169" s="5"/>
      <c r="H1169" s="13">
        <v>0.16</v>
      </c>
      <c r="K1169" s="17">
        <f>K1168*0.16</f>
        <v>0</v>
      </c>
    </row>
    <row r="1170" spans="1:12" x14ac:dyDescent="0.2">
      <c r="B1170" s="5"/>
      <c r="C1170" s="5"/>
      <c r="D1170" s="5"/>
      <c r="E1170" s="5"/>
      <c r="F1170" s="7" t="s">
        <v>30</v>
      </c>
      <c r="G1170" s="5"/>
      <c r="H1170" s="5"/>
      <c r="K1170" s="17">
        <f>K1168*1.16</f>
        <v>0</v>
      </c>
    </row>
    <row r="1174" spans="1:12" ht="13.5" customHeight="1" x14ac:dyDescent="0.2">
      <c r="A1174" s="35" t="s">
        <v>34</v>
      </c>
      <c r="B1174" s="35"/>
      <c r="C1174" s="35"/>
      <c r="D1174" s="35"/>
      <c r="E1174" s="35"/>
      <c r="F1174" s="35"/>
      <c r="G1174" s="35"/>
      <c r="H1174" s="35"/>
      <c r="I1174" s="35"/>
      <c r="J1174" s="35"/>
      <c r="K1174" s="35"/>
      <c r="L1174" s="35"/>
    </row>
    <row r="1175" spans="1:12" x14ac:dyDescent="0.2">
      <c r="A1175" s="35"/>
      <c r="B1175" s="35"/>
      <c r="C1175" s="35"/>
      <c r="D1175" s="35"/>
      <c r="E1175" s="35"/>
      <c r="F1175" s="35"/>
      <c r="G1175" s="35"/>
      <c r="H1175" s="35"/>
      <c r="I1175" s="35"/>
      <c r="J1175" s="35"/>
      <c r="K1175" s="35"/>
      <c r="L1175" s="35"/>
    </row>
    <row r="1176" spans="1:12" ht="15" customHeight="1" x14ac:dyDescent="0.2">
      <c r="A1176" s="36" t="s">
        <v>31</v>
      </c>
      <c r="B1176" s="36"/>
      <c r="C1176" s="36"/>
      <c r="D1176" s="36"/>
      <c r="E1176" s="36"/>
      <c r="F1176" s="36"/>
      <c r="G1176" s="36"/>
      <c r="H1176" s="36"/>
      <c r="I1176" s="36"/>
      <c r="J1176" s="36"/>
      <c r="K1176" s="36"/>
      <c r="L1176" s="36"/>
    </row>
    <row r="1177" spans="1:12" ht="15" customHeight="1" x14ac:dyDescent="0.2"/>
    <row r="1178" spans="1:12" x14ac:dyDescent="0.2">
      <c r="C1178" s="2" t="s">
        <v>32</v>
      </c>
      <c r="D1178" s="2"/>
      <c r="E1178" s="2"/>
      <c r="F1178" s="2"/>
      <c r="G1178" s="2"/>
      <c r="H1178" s="2"/>
      <c r="I1178" s="2"/>
      <c r="J1178" s="2"/>
      <c r="K1178" s="2"/>
      <c r="L1178" s="2"/>
    </row>
    <row r="1179" spans="1:12" x14ac:dyDescent="0.2">
      <c r="D1179" s="2"/>
      <c r="E1179" s="2"/>
      <c r="F1179" s="2"/>
      <c r="G1179" s="2"/>
      <c r="H1179" s="2"/>
      <c r="J1179" s="2"/>
      <c r="K1179" s="2"/>
    </row>
    <row r="1180" spans="1:12" x14ac:dyDescent="0.2">
      <c r="C1180" s="2"/>
      <c r="I1180" s="2"/>
    </row>
    <row r="1182" spans="1:12" x14ac:dyDescent="0.2">
      <c r="K1182" s="38"/>
    </row>
    <row r="1183" spans="1:12" x14ac:dyDescent="0.2">
      <c r="K1183" s="39"/>
    </row>
    <row r="1186" spans="2:12" x14ac:dyDescent="0.2">
      <c r="C1186" s="20" t="s">
        <v>0</v>
      </c>
      <c r="D1186" s="20"/>
      <c r="E1186" s="5"/>
      <c r="F1186" s="6"/>
      <c r="H1186" s="5" t="s">
        <v>1</v>
      </c>
      <c r="I1186" s="4"/>
    </row>
    <row r="1187" spans="2:12" ht="20.25" customHeight="1" x14ac:dyDescent="0.2"/>
    <row r="1188" spans="2:12" ht="14.25" customHeight="1" x14ac:dyDescent="0.2">
      <c r="B1188" s="5" t="s">
        <v>2</v>
      </c>
      <c r="C1188" s="34" t="s">
        <v>3</v>
      </c>
      <c r="D1188" s="34"/>
      <c r="E1188" s="5"/>
      <c r="F1188" s="5" t="s">
        <v>4</v>
      </c>
      <c r="G1188" s="5"/>
      <c r="H1188" s="8" t="s">
        <v>5</v>
      </c>
      <c r="J1188" s="7" t="s">
        <v>6</v>
      </c>
      <c r="K1188" s="19"/>
    </row>
    <row r="1189" spans="2:12" x14ac:dyDescent="0.2">
      <c r="B1189" s="5" t="s">
        <v>7</v>
      </c>
      <c r="C1189" s="23" t="s">
        <v>8</v>
      </c>
      <c r="D1189" s="23"/>
      <c r="E1189" s="7" t="s">
        <v>9</v>
      </c>
      <c r="F1189" s="5"/>
      <c r="G1189" s="5"/>
      <c r="H1189" s="5"/>
      <c r="I1189" s="5"/>
      <c r="J1189" s="7" t="s">
        <v>10</v>
      </c>
      <c r="K1189" s="19"/>
      <c r="L1189" s="5"/>
    </row>
    <row r="1190" spans="2:12" x14ac:dyDescent="0.2">
      <c r="B1190" s="28" t="s">
        <v>33</v>
      </c>
      <c r="C1190" s="28"/>
      <c r="D1190" s="6" t="s">
        <v>11</v>
      </c>
      <c r="E1190" s="7" t="s">
        <v>12</v>
      </c>
      <c r="F1190" s="8" t="s">
        <v>13</v>
      </c>
      <c r="G1190" s="7" t="s">
        <v>14</v>
      </c>
      <c r="H1190" s="9" t="s">
        <v>15</v>
      </c>
      <c r="I1190" s="5"/>
      <c r="J1190" s="5"/>
      <c r="K1190" s="5"/>
      <c r="L1190" s="5"/>
    </row>
    <row r="1191" spans="2:12" ht="14.25" customHeight="1" x14ac:dyDescent="0.2">
      <c r="B1191" s="5" t="s">
        <v>16</v>
      </c>
      <c r="C1191" s="27" t="s">
        <v>17</v>
      </c>
      <c r="D1191" s="27"/>
      <c r="E1191" s="27"/>
      <c r="F1191" s="27"/>
      <c r="G1191" s="27"/>
      <c r="H1191" s="5"/>
      <c r="I1191" s="5"/>
      <c r="J1191" s="5"/>
      <c r="K1191" s="5"/>
      <c r="L1191" s="5"/>
    </row>
    <row r="1192" spans="2:12" x14ac:dyDescent="0.2">
      <c r="B1192" s="5"/>
      <c r="C1192" s="27" t="s">
        <v>18</v>
      </c>
      <c r="D1192" s="27"/>
      <c r="E1192" s="27"/>
      <c r="F1192" s="27"/>
      <c r="G1192" s="27"/>
      <c r="H1192" s="5"/>
      <c r="I1192" s="5"/>
      <c r="J1192" s="5"/>
      <c r="K1192" s="5"/>
      <c r="L1192" s="5"/>
    </row>
    <row r="1193" spans="2:12" ht="9" customHeight="1" x14ac:dyDescent="0.2">
      <c r="B1193" s="5" t="s">
        <v>19</v>
      </c>
      <c r="C1193" s="5"/>
      <c r="D1193" s="5"/>
      <c r="E1193" s="5"/>
      <c r="F1193" s="5"/>
      <c r="G1193" s="5"/>
      <c r="H1193" s="5"/>
      <c r="I1193" s="5"/>
      <c r="J1193" s="5"/>
      <c r="K1193" s="5"/>
      <c r="L1193" s="5"/>
    </row>
    <row r="1194" spans="2:12" x14ac:dyDescent="0.2">
      <c r="B1194" s="29" t="s">
        <v>20</v>
      </c>
      <c r="C1194" s="29"/>
      <c r="D1194" s="29"/>
      <c r="E1194" s="29"/>
      <c r="F1194" s="29"/>
      <c r="G1194" s="29"/>
      <c r="H1194" s="10" t="s">
        <v>21</v>
      </c>
      <c r="I1194" s="30" t="s">
        <v>22</v>
      </c>
      <c r="J1194" s="31"/>
      <c r="K1194" s="10" t="s">
        <v>23</v>
      </c>
      <c r="L1194" s="12"/>
    </row>
    <row r="1195" spans="2:12" ht="14.25" customHeight="1" x14ac:dyDescent="0.2">
      <c r="B1195" s="32"/>
      <c r="C1195" s="32"/>
      <c r="D1195" s="32"/>
      <c r="E1195" s="32"/>
      <c r="F1195" s="32"/>
      <c r="G1195" s="32"/>
      <c r="H1195" s="1"/>
      <c r="I1195" s="33"/>
      <c r="J1195" s="33"/>
      <c r="K1195" s="18"/>
      <c r="L1195" s="11"/>
    </row>
    <row r="1196" spans="2:12" x14ac:dyDescent="0.2">
      <c r="B1196" s="22"/>
      <c r="C1196" s="22"/>
      <c r="D1196" s="22"/>
      <c r="E1196" s="22"/>
      <c r="F1196" s="22"/>
      <c r="G1196" s="22"/>
      <c r="H1196" s="22"/>
      <c r="I1196" s="22"/>
      <c r="J1196" s="22"/>
      <c r="K1196" s="22"/>
      <c r="L1196" s="11"/>
    </row>
    <row r="1197" spans="2:12" x14ac:dyDescent="0.2">
      <c r="B1197" s="22"/>
      <c r="C1197" s="22"/>
      <c r="D1197" s="22"/>
      <c r="E1197" s="22"/>
      <c r="F1197" s="22"/>
      <c r="G1197" s="22"/>
      <c r="H1197" s="1"/>
      <c r="I1197" s="25"/>
      <c r="J1197" s="26"/>
      <c r="K1197" s="14"/>
      <c r="L1197" s="11"/>
    </row>
    <row r="1198" spans="2:12" x14ac:dyDescent="0.2">
      <c r="B1198" s="22"/>
      <c r="C1198" s="22"/>
      <c r="D1198" s="22"/>
      <c r="E1198" s="22"/>
      <c r="F1198" s="22"/>
      <c r="G1198" s="22"/>
      <c r="H1198" s="22"/>
      <c r="I1198" s="22"/>
      <c r="J1198" s="22"/>
      <c r="K1198" s="22"/>
      <c r="L1198" s="11"/>
    </row>
    <row r="1199" spans="2:12" x14ac:dyDescent="0.2">
      <c r="B1199" s="22"/>
      <c r="C1199" s="22"/>
      <c r="D1199" s="22"/>
      <c r="E1199" s="22"/>
      <c r="F1199" s="22"/>
      <c r="G1199" s="22"/>
      <c r="H1199" s="1"/>
      <c r="I1199" s="25"/>
      <c r="J1199" s="26"/>
      <c r="K1199" s="14"/>
      <c r="L1199" s="11"/>
    </row>
    <row r="1200" spans="2:12" x14ac:dyDescent="0.2">
      <c r="B1200" s="22"/>
      <c r="C1200" s="22"/>
      <c r="D1200" s="22"/>
      <c r="E1200" s="22"/>
      <c r="F1200" s="22"/>
      <c r="G1200" s="22"/>
      <c r="H1200" s="22"/>
      <c r="I1200" s="22"/>
      <c r="J1200" s="22"/>
      <c r="K1200" s="22"/>
      <c r="L1200" s="11"/>
    </row>
    <row r="1201" spans="2:12" ht="14.25" customHeight="1" x14ac:dyDescent="0.2">
      <c r="B1201" s="24"/>
      <c r="C1201" s="24"/>
      <c r="D1201" s="24"/>
      <c r="E1201" s="24"/>
      <c r="F1201" s="24"/>
      <c r="G1201" s="24"/>
      <c r="H1201" s="1"/>
      <c r="I1201" s="25"/>
      <c r="J1201" s="26"/>
      <c r="K1201" s="14"/>
      <c r="L1201" s="11"/>
    </row>
    <row r="1202" spans="2:12" x14ac:dyDescent="0.2">
      <c r="B1202" s="22"/>
      <c r="C1202" s="22"/>
      <c r="D1202" s="22"/>
      <c r="E1202" s="22"/>
      <c r="F1202" s="22"/>
      <c r="G1202" s="22"/>
      <c r="H1202" s="22"/>
      <c r="I1202" s="22"/>
      <c r="J1202" s="22"/>
      <c r="K1202" s="22"/>
      <c r="L1202" s="11"/>
    </row>
    <row r="1203" spans="2:12" x14ac:dyDescent="0.2">
      <c r="B1203" s="22"/>
      <c r="C1203" s="22"/>
      <c r="D1203" s="22"/>
      <c r="E1203" s="22"/>
      <c r="F1203" s="22"/>
      <c r="G1203" s="22"/>
      <c r="H1203" s="1"/>
      <c r="I1203" s="25"/>
      <c r="J1203" s="26"/>
      <c r="K1203" s="14"/>
      <c r="L1203" s="11"/>
    </row>
    <row r="1204" spans="2:12" x14ac:dyDescent="0.2">
      <c r="B1204" s="22"/>
      <c r="C1204" s="22"/>
      <c r="D1204" s="22"/>
      <c r="E1204" s="22"/>
      <c r="F1204" s="22"/>
      <c r="G1204" s="22"/>
      <c r="H1204" s="22"/>
      <c r="I1204" s="22"/>
      <c r="J1204" s="22"/>
      <c r="K1204" s="22"/>
      <c r="L1204" s="11"/>
    </row>
    <row r="1205" spans="2:12" x14ac:dyDescent="0.2">
      <c r="B1205" s="22"/>
      <c r="C1205" s="22"/>
      <c r="D1205" s="22"/>
      <c r="E1205" s="22"/>
      <c r="F1205" s="22"/>
      <c r="G1205" s="22"/>
      <c r="H1205" s="1"/>
      <c r="I1205" s="25"/>
      <c r="J1205" s="26"/>
      <c r="K1205" s="14"/>
      <c r="L1205" s="11"/>
    </row>
    <row r="1206" spans="2:12" x14ac:dyDescent="0.2">
      <c r="B1206" s="22"/>
      <c r="C1206" s="22"/>
      <c r="D1206" s="22"/>
      <c r="E1206" s="22"/>
      <c r="F1206" s="22"/>
      <c r="G1206" s="22"/>
      <c r="H1206" s="22"/>
      <c r="I1206" s="22"/>
      <c r="J1206" s="22"/>
      <c r="K1206" s="22"/>
      <c r="L1206" s="11"/>
    </row>
    <row r="1207" spans="2:12" x14ac:dyDescent="0.2">
      <c r="B1207" s="22"/>
      <c r="C1207" s="22"/>
      <c r="D1207" s="22"/>
      <c r="E1207" s="22"/>
      <c r="F1207" s="22"/>
      <c r="G1207" s="22"/>
      <c r="H1207" s="1"/>
      <c r="I1207" s="25"/>
      <c r="J1207" s="26"/>
      <c r="K1207" s="14"/>
      <c r="L1207" s="11"/>
    </row>
    <row r="1208" spans="2:12" x14ac:dyDescent="0.2">
      <c r="B1208" s="22"/>
      <c r="C1208" s="22"/>
      <c r="D1208" s="22"/>
      <c r="E1208" s="22"/>
      <c r="F1208" s="22"/>
      <c r="G1208" s="22"/>
      <c r="H1208" s="22"/>
      <c r="I1208" s="22"/>
      <c r="J1208" s="22"/>
      <c r="K1208" s="22"/>
      <c r="L1208" s="11"/>
    </row>
    <row r="1209" spans="2:12" ht="14.25" customHeight="1" x14ac:dyDescent="0.2">
      <c r="B1209" s="24"/>
      <c r="C1209" s="24"/>
      <c r="D1209" s="24"/>
      <c r="E1209" s="24"/>
      <c r="F1209" s="24"/>
      <c r="G1209" s="24"/>
      <c r="H1209" s="1"/>
      <c r="I1209" s="25"/>
      <c r="J1209" s="26"/>
      <c r="K1209" s="14"/>
      <c r="L1209" s="11"/>
    </row>
    <row r="1210" spans="2:12" x14ac:dyDescent="0.2">
      <c r="B1210" s="22"/>
      <c r="C1210" s="22"/>
      <c r="D1210" s="22"/>
      <c r="E1210" s="22"/>
      <c r="F1210" s="22"/>
      <c r="G1210" s="22"/>
      <c r="H1210" s="22"/>
      <c r="I1210" s="22"/>
      <c r="J1210" s="22"/>
      <c r="K1210" s="22"/>
    </row>
    <row r="1211" spans="2:12" ht="14.25" customHeight="1" x14ac:dyDescent="0.2">
      <c r="B1211" s="24"/>
      <c r="C1211" s="24"/>
      <c r="D1211" s="24"/>
      <c r="E1211" s="24"/>
      <c r="F1211" s="24"/>
      <c r="G1211" s="24"/>
      <c r="H1211" s="1"/>
      <c r="I1211" s="37"/>
      <c r="J1211" s="26"/>
      <c r="K1211" s="14"/>
    </row>
    <row r="1212" spans="2:12" x14ac:dyDescent="0.2">
      <c r="B1212" s="22"/>
      <c r="C1212" s="22"/>
      <c r="D1212" s="22"/>
      <c r="E1212" s="22"/>
      <c r="F1212" s="22"/>
      <c r="G1212" s="22"/>
      <c r="H1212" s="22"/>
      <c r="I1212" s="22"/>
      <c r="J1212" s="22"/>
      <c r="K1212" s="22"/>
    </row>
    <row r="1213" spans="2:12" x14ac:dyDescent="0.2">
      <c r="B1213" s="22"/>
      <c r="C1213" s="22"/>
      <c r="D1213" s="22"/>
      <c r="E1213" s="22"/>
      <c r="F1213" s="22"/>
      <c r="G1213" s="22"/>
      <c r="H1213" s="1"/>
      <c r="I1213" s="21"/>
      <c r="J1213" s="21"/>
      <c r="K1213" s="11"/>
    </row>
    <row r="1214" spans="2:12" x14ac:dyDescent="0.2">
      <c r="B1214" s="22"/>
      <c r="C1214" s="22"/>
      <c r="D1214" s="22"/>
      <c r="E1214" s="22"/>
      <c r="F1214" s="22"/>
      <c r="G1214" s="22"/>
      <c r="H1214" s="1"/>
      <c r="I1214" s="21"/>
      <c r="J1214" s="21"/>
      <c r="K1214" s="11"/>
    </row>
    <row r="1215" spans="2:12" x14ac:dyDescent="0.2">
      <c r="B1215" s="5" t="s">
        <v>24</v>
      </c>
      <c r="C1215" s="5"/>
      <c r="D1215" s="5"/>
      <c r="E1215" s="5"/>
      <c r="F1215" s="7" t="s">
        <v>25</v>
      </c>
      <c r="G1215" s="5"/>
      <c r="H1215" s="5"/>
      <c r="K1215" s="16">
        <f>SUM(K1195,K1197,K1199,K1201,K1203,K1205,K1207,K1209,K1211)</f>
        <v>0</v>
      </c>
    </row>
    <row r="1216" spans="2:12" x14ac:dyDescent="0.2">
      <c r="B1216" s="5"/>
      <c r="C1216" s="5"/>
      <c r="D1216" s="5"/>
      <c r="E1216" s="5"/>
      <c r="F1216" s="7" t="s">
        <v>26</v>
      </c>
      <c r="G1216" s="5"/>
      <c r="H1216" s="5"/>
      <c r="K1216" s="16">
        <v>0</v>
      </c>
    </row>
    <row r="1217" spans="1:12" x14ac:dyDescent="0.2">
      <c r="B1217" s="5"/>
      <c r="C1217" s="5"/>
      <c r="D1217" s="5"/>
      <c r="E1217" s="5"/>
      <c r="F1217" s="7" t="s">
        <v>27</v>
      </c>
      <c r="G1217" s="5"/>
      <c r="H1217" s="5"/>
      <c r="K1217" s="16">
        <f>K1215+K1216</f>
        <v>0</v>
      </c>
    </row>
    <row r="1218" spans="1:12" x14ac:dyDescent="0.2">
      <c r="B1218" s="28" t="s">
        <v>28</v>
      </c>
      <c r="C1218" s="28"/>
      <c r="D1218" s="28"/>
      <c r="E1218" s="5"/>
      <c r="F1218" s="7" t="s">
        <v>29</v>
      </c>
      <c r="G1218" s="5"/>
      <c r="H1218" s="13">
        <v>0.16</v>
      </c>
      <c r="K1218" s="17">
        <f>K1217*0.16</f>
        <v>0</v>
      </c>
    </row>
    <row r="1219" spans="1:12" x14ac:dyDescent="0.2">
      <c r="B1219" s="5"/>
      <c r="C1219" s="5"/>
      <c r="D1219" s="5"/>
      <c r="E1219" s="5"/>
      <c r="F1219" s="7" t="s">
        <v>30</v>
      </c>
      <c r="G1219" s="5"/>
      <c r="H1219" s="5"/>
      <c r="K1219" s="17">
        <f>K1217*1.16</f>
        <v>0</v>
      </c>
    </row>
    <row r="1223" spans="1:12" ht="13.5" customHeight="1" x14ac:dyDescent="0.2">
      <c r="A1223" s="35" t="s">
        <v>34</v>
      </c>
      <c r="B1223" s="35"/>
      <c r="C1223" s="35"/>
      <c r="D1223" s="35"/>
      <c r="E1223" s="35"/>
      <c r="F1223" s="35"/>
      <c r="G1223" s="35"/>
      <c r="H1223" s="35"/>
      <c r="I1223" s="35"/>
      <c r="J1223" s="35"/>
      <c r="K1223" s="35"/>
      <c r="L1223" s="35"/>
    </row>
    <row r="1224" spans="1:12" x14ac:dyDescent="0.2">
      <c r="A1224" s="35"/>
      <c r="B1224" s="35"/>
      <c r="C1224" s="35"/>
      <c r="D1224" s="35"/>
      <c r="E1224" s="35"/>
      <c r="F1224" s="35"/>
      <c r="G1224" s="35"/>
      <c r="H1224" s="35"/>
      <c r="I1224" s="35"/>
      <c r="J1224" s="35"/>
      <c r="K1224" s="35"/>
      <c r="L1224" s="35"/>
    </row>
    <row r="1225" spans="1:12" ht="15" customHeight="1" x14ac:dyDescent="0.2">
      <c r="A1225" s="36" t="s">
        <v>31</v>
      </c>
      <c r="B1225" s="36"/>
      <c r="C1225" s="36"/>
      <c r="D1225" s="36"/>
      <c r="E1225" s="36"/>
      <c r="F1225" s="36"/>
      <c r="G1225" s="36"/>
      <c r="H1225" s="36"/>
      <c r="I1225" s="36"/>
      <c r="J1225" s="36"/>
      <c r="K1225" s="36"/>
      <c r="L1225" s="36"/>
    </row>
    <row r="1226" spans="1:12" ht="15" customHeight="1" x14ac:dyDescent="0.2"/>
    <row r="1227" spans="1:12" x14ac:dyDescent="0.2">
      <c r="C1227" s="2" t="s">
        <v>32</v>
      </c>
      <c r="D1227" s="2"/>
      <c r="E1227" s="2"/>
      <c r="F1227" s="2"/>
      <c r="G1227" s="2"/>
      <c r="H1227" s="2"/>
      <c r="I1227" s="2"/>
      <c r="J1227" s="2"/>
      <c r="K1227" s="2"/>
      <c r="L1227" s="2"/>
    </row>
    <row r="1228" spans="1:12" x14ac:dyDescent="0.2">
      <c r="D1228" s="2"/>
      <c r="E1228" s="2"/>
      <c r="F1228" s="2"/>
      <c r="G1228" s="2"/>
      <c r="H1228" s="2"/>
      <c r="J1228" s="2"/>
      <c r="K1228" s="2"/>
    </row>
    <row r="1229" spans="1:12" x14ac:dyDescent="0.2">
      <c r="C1229" s="2"/>
      <c r="I1229" s="2"/>
    </row>
    <row r="1231" spans="1:12" x14ac:dyDescent="0.2">
      <c r="K1231" s="39"/>
    </row>
    <row r="1232" spans="1:12" x14ac:dyDescent="0.2">
      <c r="K1232" s="39"/>
    </row>
    <row r="1235" spans="2:12" x14ac:dyDescent="0.2">
      <c r="C1235" s="20" t="s">
        <v>0</v>
      </c>
      <c r="D1235" s="20"/>
      <c r="E1235" s="5"/>
      <c r="F1235" s="6"/>
      <c r="H1235" s="5" t="s">
        <v>1</v>
      </c>
      <c r="I1235" s="4"/>
    </row>
    <row r="1236" spans="2:12" ht="20.25" customHeight="1" x14ac:dyDescent="0.2"/>
    <row r="1237" spans="2:12" ht="14.25" customHeight="1" x14ac:dyDescent="0.2">
      <c r="B1237" s="5" t="s">
        <v>2</v>
      </c>
      <c r="C1237" s="34" t="s">
        <v>3</v>
      </c>
      <c r="D1237" s="34"/>
      <c r="E1237" s="5"/>
      <c r="F1237" s="5" t="s">
        <v>4</v>
      </c>
      <c r="G1237" s="5"/>
      <c r="H1237" s="8" t="s">
        <v>5</v>
      </c>
      <c r="J1237" s="7" t="s">
        <v>6</v>
      </c>
      <c r="K1237" s="15"/>
    </row>
    <row r="1238" spans="2:12" x14ac:dyDescent="0.2">
      <c r="B1238" s="5" t="s">
        <v>7</v>
      </c>
      <c r="C1238" s="23" t="s">
        <v>8</v>
      </c>
      <c r="D1238" s="23"/>
      <c r="E1238" s="7" t="s">
        <v>9</v>
      </c>
      <c r="F1238" s="5"/>
      <c r="G1238" s="5"/>
      <c r="H1238" s="5"/>
      <c r="I1238" s="5"/>
      <c r="J1238" s="7" t="s">
        <v>10</v>
      </c>
      <c r="K1238" s="15"/>
      <c r="L1238" s="5"/>
    </row>
    <row r="1239" spans="2:12" x14ac:dyDescent="0.2">
      <c r="B1239" s="28" t="s">
        <v>33</v>
      </c>
      <c r="C1239" s="28"/>
      <c r="D1239" s="6" t="s">
        <v>11</v>
      </c>
      <c r="E1239" s="7" t="s">
        <v>12</v>
      </c>
      <c r="F1239" s="8" t="s">
        <v>13</v>
      </c>
      <c r="G1239" s="7" t="s">
        <v>14</v>
      </c>
      <c r="H1239" s="9" t="s">
        <v>15</v>
      </c>
      <c r="I1239" s="5"/>
      <c r="J1239" s="5"/>
      <c r="K1239" s="5"/>
      <c r="L1239" s="5"/>
    </row>
    <row r="1240" spans="2:12" ht="14.25" customHeight="1" x14ac:dyDescent="0.2">
      <c r="B1240" s="5" t="s">
        <v>16</v>
      </c>
      <c r="C1240" s="27" t="s">
        <v>17</v>
      </c>
      <c r="D1240" s="27"/>
      <c r="E1240" s="27"/>
      <c r="F1240" s="27"/>
      <c r="G1240" s="27"/>
      <c r="H1240" s="5"/>
      <c r="I1240" s="5"/>
      <c r="J1240" s="5"/>
      <c r="K1240" s="5"/>
      <c r="L1240" s="5"/>
    </row>
    <row r="1241" spans="2:12" x14ac:dyDescent="0.2">
      <c r="B1241" s="5"/>
      <c r="C1241" s="27" t="s">
        <v>18</v>
      </c>
      <c r="D1241" s="27"/>
      <c r="E1241" s="27"/>
      <c r="F1241" s="27"/>
      <c r="G1241" s="27"/>
      <c r="H1241" s="5"/>
      <c r="I1241" s="5"/>
      <c r="J1241" s="5"/>
      <c r="K1241" s="5"/>
      <c r="L1241" s="5"/>
    </row>
    <row r="1242" spans="2:12" ht="9" customHeight="1" x14ac:dyDescent="0.2">
      <c r="B1242" s="5" t="s">
        <v>19</v>
      </c>
      <c r="C1242" s="5"/>
      <c r="D1242" s="5"/>
      <c r="E1242" s="5"/>
      <c r="F1242" s="5"/>
      <c r="G1242" s="5"/>
      <c r="H1242" s="5"/>
      <c r="I1242" s="5"/>
      <c r="J1242" s="5"/>
      <c r="K1242" s="5"/>
      <c r="L1242" s="5"/>
    </row>
    <row r="1243" spans="2:12" x14ac:dyDescent="0.2">
      <c r="B1243" s="29" t="s">
        <v>20</v>
      </c>
      <c r="C1243" s="29"/>
      <c r="D1243" s="29"/>
      <c r="E1243" s="29"/>
      <c r="F1243" s="29"/>
      <c r="G1243" s="29"/>
      <c r="H1243" s="10" t="s">
        <v>21</v>
      </c>
      <c r="I1243" s="30" t="s">
        <v>22</v>
      </c>
      <c r="J1243" s="31"/>
      <c r="K1243" s="10" t="s">
        <v>23</v>
      </c>
      <c r="L1243" s="12"/>
    </row>
    <row r="1244" spans="2:12" ht="14.25" customHeight="1" x14ac:dyDescent="0.2">
      <c r="B1244" s="32"/>
      <c r="C1244" s="32"/>
      <c r="D1244" s="32"/>
      <c r="E1244" s="32"/>
      <c r="F1244" s="32"/>
      <c r="G1244" s="32"/>
      <c r="H1244" s="1"/>
      <c r="I1244" s="33"/>
      <c r="J1244" s="33"/>
      <c r="K1244" s="18"/>
      <c r="L1244" s="11"/>
    </row>
    <row r="1245" spans="2:12" x14ac:dyDescent="0.2">
      <c r="B1245" s="22"/>
      <c r="C1245" s="22"/>
      <c r="D1245" s="22"/>
      <c r="E1245" s="22"/>
      <c r="F1245" s="22"/>
      <c r="G1245" s="22"/>
      <c r="H1245" s="22"/>
      <c r="I1245" s="22"/>
      <c r="J1245" s="22"/>
      <c r="K1245" s="22"/>
      <c r="L1245" s="11"/>
    </row>
    <row r="1246" spans="2:12" x14ac:dyDescent="0.2">
      <c r="B1246" s="22"/>
      <c r="C1246" s="22"/>
      <c r="D1246" s="22"/>
      <c r="E1246" s="22"/>
      <c r="F1246" s="22"/>
      <c r="G1246" s="22"/>
      <c r="H1246" s="1"/>
      <c r="I1246" s="25"/>
      <c r="J1246" s="26"/>
      <c r="K1246" s="14"/>
      <c r="L1246" s="11"/>
    </row>
    <row r="1247" spans="2:12" x14ac:dyDescent="0.2">
      <c r="B1247" s="22"/>
      <c r="C1247" s="22"/>
      <c r="D1247" s="22"/>
      <c r="E1247" s="22"/>
      <c r="F1247" s="22"/>
      <c r="G1247" s="22"/>
      <c r="H1247" s="22"/>
      <c r="I1247" s="22"/>
      <c r="J1247" s="22"/>
      <c r="K1247" s="22"/>
      <c r="L1247" s="11"/>
    </row>
    <row r="1248" spans="2:12" x14ac:dyDescent="0.2">
      <c r="B1248" s="22"/>
      <c r="C1248" s="22"/>
      <c r="D1248" s="22"/>
      <c r="E1248" s="22"/>
      <c r="F1248" s="22"/>
      <c r="G1248" s="22"/>
      <c r="H1248" s="1"/>
      <c r="I1248" s="25"/>
      <c r="J1248" s="26"/>
      <c r="K1248" s="14"/>
      <c r="L1248" s="11"/>
    </row>
    <row r="1249" spans="2:12" x14ac:dyDescent="0.2">
      <c r="B1249" s="22"/>
      <c r="C1249" s="22"/>
      <c r="D1249" s="22"/>
      <c r="E1249" s="22"/>
      <c r="F1249" s="22"/>
      <c r="G1249" s="22"/>
      <c r="H1249" s="22"/>
      <c r="I1249" s="22"/>
      <c r="J1249" s="22"/>
      <c r="K1249" s="22"/>
      <c r="L1249" s="11"/>
    </row>
    <row r="1250" spans="2:12" ht="14.25" customHeight="1" x14ac:dyDescent="0.2">
      <c r="B1250" s="24"/>
      <c r="C1250" s="24"/>
      <c r="D1250" s="24"/>
      <c r="E1250" s="24"/>
      <c r="F1250" s="24"/>
      <c r="G1250" s="24"/>
      <c r="H1250" s="1"/>
      <c r="I1250" s="25"/>
      <c r="J1250" s="26"/>
      <c r="K1250" s="14"/>
      <c r="L1250" s="11"/>
    </row>
    <row r="1251" spans="2:12" x14ac:dyDescent="0.2">
      <c r="B1251" s="22"/>
      <c r="C1251" s="22"/>
      <c r="D1251" s="22"/>
      <c r="E1251" s="22"/>
      <c r="F1251" s="22"/>
      <c r="G1251" s="22"/>
      <c r="H1251" s="22"/>
      <c r="I1251" s="22"/>
      <c r="J1251" s="22"/>
      <c r="K1251" s="22"/>
      <c r="L1251" s="11"/>
    </row>
    <row r="1252" spans="2:12" x14ac:dyDescent="0.2">
      <c r="B1252" s="22"/>
      <c r="C1252" s="22"/>
      <c r="D1252" s="22"/>
      <c r="E1252" s="22"/>
      <c r="F1252" s="22"/>
      <c r="G1252" s="22"/>
      <c r="H1252" s="1"/>
      <c r="I1252" s="25"/>
      <c r="J1252" s="26"/>
      <c r="K1252" s="14"/>
      <c r="L1252" s="11"/>
    </row>
    <row r="1253" spans="2:12" x14ac:dyDescent="0.2">
      <c r="B1253" s="22"/>
      <c r="C1253" s="22"/>
      <c r="D1253" s="22"/>
      <c r="E1253" s="22"/>
      <c r="F1253" s="22"/>
      <c r="G1253" s="22"/>
      <c r="H1253" s="22"/>
      <c r="I1253" s="22"/>
      <c r="J1253" s="22"/>
      <c r="K1253" s="22"/>
      <c r="L1253" s="11"/>
    </row>
    <row r="1254" spans="2:12" x14ac:dyDescent="0.2">
      <c r="B1254" s="22"/>
      <c r="C1254" s="22"/>
      <c r="D1254" s="22"/>
      <c r="E1254" s="22"/>
      <c r="F1254" s="22"/>
      <c r="G1254" s="22"/>
      <c r="H1254" s="1"/>
      <c r="I1254" s="25"/>
      <c r="J1254" s="26"/>
      <c r="K1254" s="14"/>
      <c r="L1254" s="11"/>
    </row>
    <row r="1255" spans="2:12" x14ac:dyDescent="0.2">
      <c r="B1255" s="22"/>
      <c r="C1255" s="22"/>
      <c r="D1255" s="22"/>
      <c r="E1255" s="22"/>
      <c r="F1255" s="22"/>
      <c r="G1255" s="22"/>
      <c r="H1255" s="22"/>
      <c r="I1255" s="22"/>
      <c r="J1255" s="22"/>
      <c r="K1255" s="22"/>
      <c r="L1255" s="11"/>
    </row>
    <row r="1256" spans="2:12" x14ac:dyDescent="0.2">
      <c r="B1256" s="22"/>
      <c r="C1256" s="22"/>
      <c r="D1256" s="22"/>
      <c r="E1256" s="22"/>
      <c r="F1256" s="22"/>
      <c r="G1256" s="22"/>
      <c r="H1256" s="1"/>
      <c r="I1256" s="25"/>
      <c r="J1256" s="26"/>
      <c r="K1256" s="14"/>
      <c r="L1256" s="11"/>
    </row>
    <row r="1257" spans="2:12" x14ac:dyDescent="0.2">
      <c r="B1257" s="22"/>
      <c r="C1257" s="22"/>
      <c r="D1257" s="22"/>
      <c r="E1257" s="22"/>
      <c r="F1257" s="22"/>
      <c r="G1257" s="22"/>
      <c r="H1257" s="22"/>
      <c r="I1257" s="22"/>
      <c r="J1257" s="22"/>
      <c r="K1257" s="22"/>
      <c r="L1257" s="11"/>
    </row>
    <row r="1258" spans="2:12" ht="14.25" customHeight="1" x14ac:dyDescent="0.2">
      <c r="B1258" s="24"/>
      <c r="C1258" s="24"/>
      <c r="D1258" s="24"/>
      <c r="E1258" s="24"/>
      <c r="F1258" s="24"/>
      <c r="G1258" s="24"/>
      <c r="H1258" s="1"/>
      <c r="I1258" s="25"/>
      <c r="J1258" s="26"/>
      <c r="K1258" s="14"/>
      <c r="L1258" s="11"/>
    </row>
    <row r="1259" spans="2:12" x14ac:dyDescent="0.2">
      <c r="B1259" s="22"/>
      <c r="C1259" s="22"/>
      <c r="D1259" s="22"/>
      <c r="E1259" s="22"/>
      <c r="F1259" s="22"/>
      <c r="G1259" s="22"/>
      <c r="H1259" s="22"/>
      <c r="I1259" s="22"/>
      <c r="J1259" s="22"/>
      <c r="K1259" s="22"/>
    </row>
    <row r="1260" spans="2:12" ht="14.25" customHeight="1" x14ac:dyDescent="0.2">
      <c r="B1260" s="24"/>
      <c r="C1260" s="24"/>
      <c r="D1260" s="24"/>
      <c r="E1260" s="24"/>
      <c r="F1260" s="24"/>
      <c r="G1260" s="24"/>
      <c r="H1260" s="1"/>
      <c r="I1260" s="37"/>
      <c r="J1260" s="26"/>
      <c r="K1260" s="14"/>
    </row>
    <row r="1261" spans="2:12" x14ac:dyDescent="0.2">
      <c r="B1261" s="22"/>
      <c r="C1261" s="22"/>
      <c r="D1261" s="22"/>
      <c r="E1261" s="22"/>
      <c r="F1261" s="22"/>
      <c r="G1261" s="22"/>
      <c r="H1261" s="22"/>
      <c r="I1261" s="22"/>
      <c r="J1261" s="22"/>
      <c r="K1261" s="22"/>
    </row>
    <row r="1262" spans="2:12" x14ac:dyDescent="0.2">
      <c r="B1262" s="22"/>
      <c r="C1262" s="22"/>
      <c r="D1262" s="22"/>
      <c r="E1262" s="22"/>
      <c r="F1262" s="22"/>
      <c r="G1262" s="22"/>
      <c r="H1262" s="1"/>
      <c r="I1262" s="21"/>
      <c r="J1262" s="21"/>
      <c r="K1262" s="11"/>
    </row>
    <row r="1263" spans="2:12" x14ac:dyDescent="0.2">
      <c r="B1263" s="22"/>
      <c r="C1263" s="22"/>
      <c r="D1263" s="22"/>
      <c r="E1263" s="22"/>
      <c r="F1263" s="22"/>
      <c r="G1263" s="22"/>
      <c r="H1263" s="1"/>
      <c r="I1263" s="21"/>
      <c r="J1263" s="21"/>
      <c r="K1263" s="11"/>
    </row>
    <row r="1264" spans="2:12" x14ac:dyDescent="0.2">
      <c r="B1264" s="5" t="s">
        <v>24</v>
      </c>
      <c r="C1264" s="5"/>
      <c r="D1264" s="5"/>
      <c r="E1264" s="5"/>
      <c r="F1264" s="7" t="s">
        <v>25</v>
      </c>
      <c r="G1264" s="5"/>
      <c r="H1264" s="5"/>
      <c r="K1264" s="16">
        <f>SUM(K1244,K1246,K1248,K1250,K1252,K1254,K1256,K1258,K1260)</f>
        <v>0</v>
      </c>
    </row>
    <row r="1265" spans="1:12" x14ac:dyDescent="0.2">
      <c r="B1265" s="5"/>
      <c r="C1265" s="5"/>
      <c r="D1265" s="5"/>
      <c r="E1265" s="5"/>
      <c r="F1265" s="7" t="s">
        <v>26</v>
      </c>
      <c r="G1265" s="5"/>
      <c r="H1265" s="5"/>
      <c r="K1265" s="16">
        <v>0</v>
      </c>
    </row>
    <row r="1266" spans="1:12" x14ac:dyDescent="0.2">
      <c r="B1266" s="5"/>
      <c r="C1266" s="5"/>
      <c r="D1266" s="5"/>
      <c r="E1266" s="5"/>
      <c r="F1266" s="7" t="s">
        <v>27</v>
      </c>
      <c r="G1266" s="5"/>
      <c r="H1266" s="5"/>
      <c r="K1266" s="16">
        <f>K1264+K1265</f>
        <v>0</v>
      </c>
    </row>
    <row r="1267" spans="1:12" x14ac:dyDescent="0.2">
      <c r="B1267" s="28" t="s">
        <v>28</v>
      </c>
      <c r="C1267" s="28"/>
      <c r="D1267" s="28"/>
      <c r="E1267" s="5"/>
      <c r="F1267" s="7" t="s">
        <v>29</v>
      </c>
      <c r="G1267" s="5"/>
      <c r="H1267" s="13">
        <v>0.16</v>
      </c>
      <c r="K1267" s="17">
        <f>K1266*0.16</f>
        <v>0</v>
      </c>
    </row>
    <row r="1268" spans="1:12" x14ac:dyDescent="0.2">
      <c r="B1268" s="5"/>
      <c r="C1268" s="5"/>
      <c r="D1268" s="5"/>
      <c r="E1268" s="5"/>
      <c r="F1268" s="7" t="s">
        <v>30</v>
      </c>
      <c r="G1268" s="5"/>
      <c r="H1268" s="5"/>
      <c r="K1268" s="17">
        <f>K1266*1.16</f>
        <v>0</v>
      </c>
    </row>
    <row r="1272" spans="1:12" ht="13.5" customHeight="1" x14ac:dyDescent="0.2">
      <c r="A1272" s="35" t="s">
        <v>34</v>
      </c>
      <c r="B1272" s="35"/>
      <c r="C1272" s="35"/>
      <c r="D1272" s="35"/>
      <c r="E1272" s="35"/>
      <c r="F1272" s="35"/>
      <c r="G1272" s="35"/>
      <c r="H1272" s="35"/>
      <c r="I1272" s="35"/>
      <c r="J1272" s="35"/>
      <c r="K1272" s="35"/>
      <c r="L1272" s="35"/>
    </row>
    <row r="1273" spans="1:12" x14ac:dyDescent="0.2">
      <c r="A1273" s="35"/>
      <c r="B1273" s="35"/>
      <c r="C1273" s="35"/>
      <c r="D1273" s="35"/>
      <c r="E1273" s="35"/>
      <c r="F1273" s="35"/>
      <c r="G1273" s="35"/>
      <c r="H1273" s="35"/>
      <c r="I1273" s="35"/>
      <c r="J1273" s="35"/>
      <c r="K1273" s="35"/>
      <c r="L1273" s="35"/>
    </row>
    <row r="1274" spans="1:12" ht="15" customHeight="1" x14ac:dyDescent="0.2">
      <c r="A1274" s="36" t="s">
        <v>31</v>
      </c>
      <c r="B1274" s="36"/>
      <c r="C1274" s="36"/>
      <c r="D1274" s="36"/>
      <c r="E1274" s="36"/>
      <c r="F1274" s="36"/>
      <c r="G1274" s="36"/>
      <c r="H1274" s="36"/>
      <c r="I1274" s="36"/>
      <c r="J1274" s="36"/>
      <c r="K1274" s="36"/>
      <c r="L1274" s="36"/>
    </row>
    <row r="1275" spans="1:12" ht="15" customHeight="1" x14ac:dyDescent="0.2"/>
    <row r="1276" spans="1:12" x14ac:dyDescent="0.2">
      <c r="C1276" s="2" t="s">
        <v>32</v>
      </c>
      <c r="D1276" s="2"/>
      <c r="E1276" s="2"/>
      <c r="F1276" s="2"/>
      <c r="G1276" s="2"/>
      <c r="H1276" s="2"/>
      <c r="I1276" s="2"/>
      <c r="J1276" s="2"/>
      <c r="K1276" s="2"/>
      <c r="L1276" s="2"/>
    </row>
    <row r="1277" spans="1:12" x14ac:dyDescent="0.2">
      <c r="D1277" s="2"/>
      <c r="E1277" s="2"/>
      <c r="F1277" s="2"/>
      <c r="G1277" s="2"/>
      <c r="H1277" s="2"/>
      <c r="J1277" s="2"/>
      <c r="K1277" s="2"/>
    </row>
    <row r="1278" spans="1:12" x14ac:dyDescent="0.2">
      <c r="C1278" s="2"/>
      <c r="I1278" s="2"/>
    </row>
    <row r="1280" spans="1:12" x14ac:dyDescent="0.2">
      <c r="K1280" s="39"/>
    </row>
    <row r="1281" spans="2:12" x14ac:dyDescent="0.2">
      <c r="K1281" s="39"/>
    </row>
    <row r="1284" spans="2:12" x14ac:dyDescent="0.2">
      <c r="C1284" s="20" t="s">
        <v>0</v>
      </c>
      <c r="D1284" s="20"/>
      <c r="E1284" s="5"/>
      <c r="F1284" s="6"/>
      <c r="H1284" s="5" t="s">
        <v>1</v>
      </c>
      <c r="I1284" s="4"/>
    </row>
    <row r="1285" spans="2:12" ht="20.25" customHeight="1" x14ac:dyDescent="0.2"/>
    <row r="1286" spans="2:12" ht="14.25" customHeight="1" x14ac:dyDescent="0.2">
      <c r="B1286" s="5" t="s">
        <v>2</v>
      </c>
      <c r="C1286" s="34" t="s">
        <v>3</v>
      </c>
      <c r="D1286" s="34"/>
      <c r="E1286" s="5"/>
      <c r="F1286" s="5" t="s">
        <v>4</v>
      </c>
      <c r="G1286" s="5"/>
      <c r="H1286" s="8" t="s">
        <v>5</v>
      </c>
      <c r="J1286" s="7" t="s">
        <v>6</v>
      </c>
      <c r="K1286" s="15"/>
    </row>
    <row r="1287" spans="2:12" x14ac:dyDescent="0.2">
      <c r="B1287" s="5" t="s">
        <v>7</v>
      </c>
      <c r="C1287" s="23" t="s">
        <v>8</v>
      </c>
      <c r="D1287" s="23"/>
      <c r="E1287" s="7" t="s">
        <v>9</v>
      </c>
      <c r="F1287" s="5"/>
      <c r="G1287" s="5"/>
      <c r="H1287" s="5"/>
      <c r="I1287" s="5"/>
      <c r="J1287" s="7" t="s">
        <v>10</v>
      </c>
      <c r="K1287" s="15"/>
      <c r="L1287" s="5"/>
    </row>
    <row r="1288" spans="2:12" x14ac:dyDescent="0.2">
      <c r="B1288" s="28" t="s">
        <v>33</v>
      </c>
      <c r="C1288" s="28"/>
      <c r="D1288" s="6" t="s">
        <v>11</v>
      </c>
      <c r="E1288" s="7" t="s">
        <v>12</v>
      </c>
      <c r="F1288" s="8" t="s">
        <v>13</v>
      </c>
      <c r="G1288" s="7" t="s">
        <v>14</v>
      </c>
      <c r="H1288" s="9" t="s">
        <v>15</v>
      </c>
      <c r="I1288" s="5"/>
      <c r="J1288" s="5"/>
      <c r="K1288" s="5"/>
      <c r="L1288" s="5"/>
    </row>
    <row r="1289" spans="2:12" ht="14.25" customHeight="1" x14ac:dyDescent="0.2">
      <c r="B1289" s="5" t="s">
        <v>16</v>
      </c>
      <c r="C1289" s="27" t="s">
        <v>17</v>
      </c>
      <c r="D1289" s="27"/>
      <c r="E1289" s="27"/>
      <c r="F1289" s="27"/>
      <c r="G1289" s="27"/>
      <c r="H1289" s="5"/>
      <c r="I1289" s="5"/>
      <c r="J1289" s="5"/>
      <c r="K1289" s="5"/>
      <c r="L1289" s="5"/>
    </row>
    <row r="1290" spans="2:12" x14ac:dyDescent="0.2">
      <c r="B1290" s="5"/>
      <c r="C1290" s="27" t="s">
        <v>18</v>
      </c>
      <c r="D1290" s="27"/>
      <c r="E1290" s="27"/>
      <c r="F1290" s="27"/>
      <c r="G1290" s="27"/>
      <c r="H1290" s="5"/>
      <c r="I1290" s="5"/>
      <c r="J1290" s="5"/>
      <c r="K1290" s="5"/>
      <c r="L1290" s="5"/>
    </row>
    <row r="1291" spans="2:12" ht="9" customHeight="1" x14ac:dyDescent="0.2">
      <c r="B1291" s="5" t="s">
        <v>19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</row>
    <row r="1292" spans="2:12" x14ac:dyDescent="0.2">
      <c r="B1292" s="29" t="s">
        <v>20</v>
      </c>
      <c r="C1292" s="29"/>
      <c r="D1292" s="29"/>
      <c r="E1292" s="29"/>
      <c r="F1292" s="29"/>
      <c r="G1292" s="29"/>
      <c r="H1292" s="10" t="s">
        <v>21</v>
      </c>
      <c r="I1292" s="30" t="s">
        <v>22</v>
      </c>
      <c r="J1292" s="31"/>
      <c r="K1292" s="10" t="s">
        <v>23</v>
      </c>
      <c r="L1292" s="12"/>
    </row>
    <row r="1293" spans="2:12" ht="14.25" customHeight="1" x14ac:dyDescent="0.2">
      <c r="B1293" s="32"/>
      <c r="C1293" s="32"/>
      <c r="D1293" s="32"/>
      <c r="E1293" s="32"/>
      <c r="F1293" s="32"/>
      <c r="G1293" s="32"/>
      <c r="H1293" s="1"/>
      <c r="I1293" s="33"/>
      <c r="J1293" s="33"/>
      <c r="K1293" s="18"/>
      <c r="L1293" s="11"/>
    </row>
    <row r="1294" spans="2:12" x14ac:dyDescent="0.2">
      <c r="B1294" s="22"/>
      <c r="C1294" s="22"/>
      <c r="D1294" s="22"/>
      <c r="E1294" s="22"/>
      <c r="F1294" s="22"/>
      <c r="G1294" s="22"/>
      <c r="H1294" s="22"/>
      <c r="I1294" s="22"/>
      <c r="J1294" s="22"/>
      <c r="K1294" s="22"/>
      <c r="L1294" s="11"/>
    </row>
    <row r="1295" spans="2:12" x14ac:dyDescent="0.2">
      <c r="B1295" s="22"/>
      <c r="C1295" s="22"/>
      <c r="D1295" s="22"/>
      <c r="E1295" s="22"/>
      <c r="F1295" s="22"/>
      <c r="G1295" s="22"/>
      <c r="H1295" s="1"/>
      <c r="I1295" s="25"/>
      <c r="J1295" s="26"/>
      <c r="K1295" s="14"/>
      <c r="L1295" s="11"/>
    </row>
    <row r="1296" spans="2:12" x14ac:dyDescent="0.2">
      <c r="B1296" s="22"/>
      <c r="C1296" s="22"/>
      <c r="D1296" s="22"/>
      <c r="E1296" s="22"/>
      <c r="F1296" s="22"/>
      <c r="G1296" s="22"/>
      <c r="H1296" s="22"/>
      <c r="I1296" s="22"/>
      <c r="J1296" s="22"/>
      <c r="K1296" s="22"/>
      <c r="L1296" s="11"/>
    </row>
    <row r="1297" spans="2:12" x14ac:dyDescent="0.2">
      <c r="B1297" s="22"/>
      <c r="C1297" s="22"/>
      <c r="D1297" s="22"/>
      <c r="E1297" s="22"/>
      <c r="F1297" s="22"/>
      <c r="G1297" s="22"/>
      <c r="H1297" s="1"/>
      <c r="I1297" s="25"/>
      <c r="J1297" s="26"/>
      <c r="K1297" s="14"/>
      <c r="L1297" s="11"/>
    </row>
    <row r="1298" spans="2:12" x14ac:dyDescent="0.2">
      <c r="B1298" s="22"/>
      <c r="C1298" s="22"/>
      <c r="D1298" s="22"/>
      <c r="E1298" s="22"/>
      <c r="F1298" s="22"/>
      <c r="G1298" s="22"/>
      <c r="H1298" s="22"/>
      <c r="I1298" s="22"/>
      <c r="J1298" s="22"/>
      <c r="K1298" s="22"/>
      <c r="L1298" s="11"/>
    </row>
    <row r="1299" spans="2:12" ht="14.25" customHeight="1" x14ac:dyDescent="0.2">
      <c r="B1299" s="24"/>
      <c r="C1299" s="24"/>
      <c r="D1299" s="24"/>
      <c r="E1299" s="24"/>
      <c r="F1299" s="24"/>
      <c r="G1299" s="24"/>
      <c r="H1299" s="1"/>
      <c r="I1299" s="25"/>
      <c r="J1299" s="26"/>
      <c r="K1299" s="14"/>
      <c r="L1299" s="11"/>
    </row>
    <row r="1300" spans="2:12" x14ac:dyDescent="0.2">
      <c r="B1300" s="22"/>
      <c r="C1300" s="22"/>
      <c r="D1300" s="22"/>
      <c r="E1300" s="22"/>
      <c r="F1300" s="22"/>
      <c r="G1300" s="22"/>
      <c r="H1300" s="22"/>
      <c r="I1300" s="22"/>
      <c r="J1300" s="22"/>
      <c r="K1300" s="22"/>
      <c r="L1300" s="11"/>
    </row>
    <row r="1301" spans="2:12" x14ac:dyDescent="0.2">
      <c r="B1301" s="22"/>
      <c r="C1301" s="22"/>
      <c r="D1301" s="22"/>
      <c r="E1301" s="22"/>
      <c r="F1301" s="22"/>
      <c r="G1301" s="22"/>
      <c r="H1301" s="1"/>
      <c r="I1301" s="25"/>
      <c r="J1301" s="26"/>
      <c r="K1301" s="14"/>
      <c r="L1301" s="11"/>
    </row>
    <row r="1302" spans="2:12" x14ac:dyDescent="0.2">
      <c r="B1302" s="22"/>
      <c r="C1302" s="22"/>
      <c r="D1302" s="22"/>
      <c r="E1302" s="22"/>
      <c r="F1302" s="22"/>
      <c r="G1302" s="22"/>
      <c r="H1302" s="22"/>
      <c r="I1302" s="22"/>
      <c r="J1302" s="22"/>
      <c r="K1302" s="22"/>
      <c r="L1302" s="11"/>
    </row>
    <row r="1303" spans="2:12" x14ac:dyDescent="0.2">
      <c r="B1303" s="22"/>
      <c r="C1303" s="22"/>
      <c r="D1303" s="22"/>
      <c r="E1303" s="22"/>
      <c r="F1303" s="22"/>
      <c r="G1303" s="22"/>
      <c r="H1303" s="1"/>
      <c r="I1303" s="25"/>
      <c r="J1303" s="26"/>
      <c r="K1303" s="14"/>
      <c r="L1303" s="11"/>
    </row>
    <row r="1304" spans="2:12" x14ac:dyDescent="0.2">
      <c r="B1304" s="22"/>
      <c r="C1304" s="22"/>
      <c r="D1304" s="22"/>
      <c r="E1304" s="22"/>
      <c r="F1304" s="22"/>
      <c r="G1304" s="22"/>
      <c r="H1304" s="22"/>
      <c r="I1304" s="22"/>
      <c r="J1304" s="22"/>
      <c r="K1304" s="22"/>
      <c r="L1304" s="11"/>
    </row>
    <row r="1305" spans="2:12" x14ac:dyDescent="0.2">
      <c r="B1305" s="22"/>
      <c r="C1305" s="22"/>
      <c r="D1305" s="22"/>
      <c r="E1305" s="22"/>
      <c r="F1305" s="22"/>
      <c r="G1305" s="22"/>
      <c r="H1305" s="1"/>
      <c r="I1305" s="25"/>
      <c r="J1305" s="26"/>
      <c r="K1305" s="14"/>
      <c r="L1305" s="11"/>
    </row>
    <row r="1306" spans="2:12" x14ac:dyDescent="0.2">
      <c r="B1306" s="22"/>
      <c r="C1306" s="22"/>
      <c r="D1306" s="22"/>
      <c r="E1306" s="22"/>
      <c r="F1306" s="22"/>
      <c r="G1306" s="22"/>
      <c r="H1306" s="22"/>
      <c r="I1306" s="22"/>
      <c r="J1306" s="22"/>
      <c r="K1306" s="22"/>
      <c r="L1306" s="11"/>
    </row>
    <row r="1307" spans="2:12" ht="14.25" customHeight="1" x14ac:dyDescent="0.2">
      <c r="B1307" s="24"/>
      <c r="C1307" s="24"/>
      <c r="D1307" s="24"/>
      <c r="E1307" s="24"/>
      <c r="F1307" s="24"/>
      <c r="G1307" s="24"/>
      <c r="H1307" s="1"/>
      <c r="I1307" s="25"/>
      <c r="J1307" s="26"/>
      <c r="K1307" s="14"/>
      <c r="L1307" s="11"/>
    </row>
    <row r="1308" spans="2:12" x14ac:dyDescent="0.2">
      <c r="B1308" s="22"/>
      <c r="C1308" s="22"/>
      <c r="D1308" s="22"/>
      <c r="E1308" s="22"/>
      <c r="F1308" s="22"/>
      <c r="G1308" s="22"/>
      <c r="H1308" s="22"/>
      <c r="I1308" s="22"/>
      <c r="J1308" s="22"/>
      <c r="K1308" s="22"/>
    </row>
    <row r="1309" spans="2:12" ht="14.25" customHeight="1" x14ac:dyDescent="0.2">
      <c r="B1309" s="24"/>
      <c r="C1309" s="24"/>
      <c r="D1309" s="24"/>
      <c r="E1309" s="24"/>
      <c r="F1309" s="24"/>
      <c r="G1309" s="24"/>
      <c r="H1309" s="1"/>
      <c r="I1309" s="37"/>
      <c r="J1309" s="26"/>
      <c r="K1309" s="14"/>
    </row>
    <row r="1310" spans="2:12" x14ac:dyDescent="0.2">
      <c r="B1310" s="22"/>
      <c r="C1310" s="22"/>
      <c r="D1310" s="22"/>
      <c r="E1310" s="22"/>
      <c r="F1310" s="22"/>
      <c r="G1310" s="22"/>
      <c r="H1310" s="22"/>
      <c r="I1310" s="22"/>
      <c r="J1310" s="22"/>
      <c r="K1310" s="22"/>
    </row>
    <row r="1311" spans="2:12" x14ac:dyDescent="0.2">
      <c r="B1311" s="22"/>
      <c r="C1311" s="22"/>
      <c r="D1311" s="22"/>
      <c r="E1311" s="22"/>
      <c r="F1311" s="22"/>
      <c r="G1311" s="22"/>
      <c r="H1311" s="1"/>
      <c r="I1311" s="21"/>
      <c r="J1311" s="21"/>
      <c r="K1311" s="11"/>
    </row>
    <row r="1312" spans="2:12" x14ac:dyDescent="0.2">
      <c r="B1312" s="22"/>
      <c r="C1312" s="22"/>
      <c r="D1312" s="22"/>
      <c r="E1312" s="22"/>
      <c r="F1312" s="22"/>
      <c r="G1312" s="22"/>
      <c r="H1312" s="1"/>
      <c r="I1312" s="21"/>
      <c r="J1312" s="21"/>
      <c r="K1312" s="11"/>
    </row>
    <row r="1313" spans="1:15" x14ac:dyDescent="0.2">
      <c r="B1313" s="5" t="s">
        <v>24</v>
      </c>
      <c r="C1313" s="5"/>
      <c r="D1313" s="5"/>
      <c r="E1313" s="5"/>
      <c r="F1313" s="7" t="s">
        <v>25</v>
      </c>
      <c r="G1313" s="5"/>
      <c r="H1313" s="5"/>
      <c r="K1313" s="16">
        <f>SUM(K1293,K1295,K1297,K1299,K1301,K1303,K1305,K1307,K1309)</f>
        <v>0</v>
      </c>
    </row>
    <row r="1314" spans="1:15" x14ac:dyDescent="0.2">
      <c r="B1314" s="5"/>
      <c r="C1314" s="5"/>
      <c r="D1314" s="5"/>
      <c r="E1314" s="5"/>
      <c r="F1314" s="7" t="s">
        <v>26</v>
      </c>
      <c r="G1314" s="5"/>
      <c r="H1314" s="5"/>
      <c r="K1314" s="16">
        <v>0</v>
      </c>
    </row>
    <row r="1315" spans="1:15" x14ac:dyDescent="0.2">
      <c r="B1315" s="5"/>
      <c r="C1315" s="5"/>
      <c r="D1315" s="5"/>
      <c r="E1315" s="5"/>
      <c r="F1315" s="7" t="s">
        <v>27</v>
      </c>
      <c r="G1315" s="5"/>
      <c r="H1315" s="5"/>
      <c r="K1315" s="16">
        <f>K1313+K1314</f>
        <v>0</v>
      </c>
    </row>
    <row r="1316" spans="1:15" x14ac:dyDescent="0.2">
      <c r="B1316" s="28" t="s">
        <v>28</v>
      </c>
      <c r="C1316" s="28"/>
      <c r="D1316" s="28"/>
      <c r="E1316" s="5"/>
      <c r="F1316" s="7" t="s">
        <v>29</v>
      </c>
      <c r="G1316" s="5"/>
      <c r="H1316" s="13">
        <v>0.16</v>
      </c>
      <c r="K1316" s="17">
        <f>K1315*0.16</f>
        <v>0</v>
      </c>
    </row>
    <row r="1317" spans="1:15" x14ac:dyDescent="0.2">
      <c r="B1317" s="5"/>
      <c r="C1317" s="5"/>
      <c r="D1317" s="5"/>
      <c r="E1317" s="5"/>
      <c r="F1317" s="7" t="s">
        <v>30</v>
      </c>
      <c r="G1317" s="5"/>
      <c r="H1317" s="5"/>
      <c r="K1317" s="17">
        <f>K1315*1.16</f>
        <v>0</v>
      </c>
    </row>
    <row r="1321" spans="1:15" ht="13.5" customHeight="1" x14ac:dyDescent="0.2">
      <c r="A1321" s="35" t="s">
        <v>34</v>
      </c>
      <c r="B1321" s="35"/>
      <c r="C1321" s="35"/>
      <c r="D1321" s="35"/>
      <c r="E1321" s="35"/>
      <c r="F1321" s="35"/>
      <c r="G1321" s="35"/>
      <c r="H1321" s="35"/>
      <c r="I1321" s="35"/>
      <c r="J1321" s="35"/>
      <c r="K1321" s="35"/>
      <c r="L1321" s="35"/>
    </row>
    <row r="1322" spans="1:15" x14ac:dyDescent="0.2">
      <c r="A1322" s="35"/>
      <c r="B1322" s="35"/>
      <c r="C1322" s="35"/>
      <c r="D1322" s="35"/>
      <c r="E1322" s="35"/>
      <c r="F1322" s="35"/>
      <c r="G1322" s="35"/>
      <c r="H1322" s="35"/>
      <c r="I1322" s="35"/>
      <c r="J1322" s="35"/>
      <c r="K1322" s="35"/>
      <c r="L1322" s="35"/>
    </row>
    <row r="1323" spans="1:15" ht="15" customHeight="1" x14ac:dyDescent="0.2">
      <c r="A1323" s="36" t="s">
        <v>31</v>
      </c>
      <c r="B1323" s="36"/>
      <c r="C1323" s="36"/>
      <c r="D1323" s="36"/>
      <c r="E1323" s="36"/>
      <c r="F1323" s="36"/>
      <c r="G1323" s="36"/>
      <c r="H1323" s="36"/>
      <c r="I1323" s="36"/>
      <c r="J1323" s="36"/>
      <c r="K1323" s="36"/>
      <c r="L1323" s="36"/>
    </row>
    <row r="1324" spans="1:15" ht="15" customHeight="1" x14ac:dyDescent="0.2"/>
    <row r="1325" spans="1:15" x14ac:dyDescent="0.2">
      <c r="C1325" s="2" t="s">
        <v>32</v>
      </c>
      <c r="D1325" s="2"/>
      <c r="E1325" s="2"/>
      <c r="F1325" s="2"/>
      <c r="G1325" s="2"/>
      <c r="H1325" s="2"/>
      <c r="I1325" s="2"/>
      <c r="J1325" s="2"/>
      <c r="K1325" s="2"/>
      <c r="L1325" s="2"/>
    </row>
    <row r="1326" spans="1:15" x14ac:dyDescent="0.2">
      <c r="D1326" s="2"/>
      <c r="E1326" s="2"/>
      <c r="F1326" s="2"/>
      <c r="G1326" s="2"/>
      <c r="H1326" s="2"/>
      <c r="J1326" s="2"/>
      <c r="K1326" s="2"/>
    </row>
    <row r="1327" spans="1:15" x14ac:dyDescent="0.2">
      <c r="C1327" s="2"/>
      <c r="I1327" s="2"/>
      <c r="O1327" s="3" t="s">
        <v>35</v>
      </c>
    </row>
    <row r="1329" spans="2:12" x14ac:dyDescent="0.2">
      <c r="K1329" s="39"/>
    </row>
    <row r="1330" spans="2:12" x14ac:dyDescent="0.2">
      <c r="K1330" s="39"/>
    </row>
    <row r="1333" spans="2:12" x14ac:dyDescent="0.2">
      <c r="C1333" s="20" t="s">
        <v>0</v>
      </c>
      <c r="D1333" s="20"/>
      <c r="E1333" s="5"/>
      <c r="F1333" s="6"/>
      <c r="H1333" s="5" t="s">
        <v>1</v>
      </c>
      <c r="I1333" s="4"/>
    </row>
    <row r="1334" spans="2:12" ht="20.25" customHeight="1" x14ac:dyDescent="0.2"/>
    <row r="1335" spans="2:12" ht="14.25" customHeight="1" x14ac:dyDescent="0.2">
      <c r="B1335" s="5" t="s">
        <v>2</v>
      </c>
      <c r="C1335" s="34" t="s">
        <v>3</v>
      </c>
      <c r="D1335" s="34"/>
      <c r="E1335" s="5"/>
      <c r="F1335" s="5" t="s">
        <v>4</v>
      </c>
      <c r="G1335" s="5"/>
      <c r="H1335" s="8" t="s">
        <v>5</v>
      </c>
      <c r="J1335" s="7" t="s">
        <v>6</v>
      </c>
      <c r="K1335" s="15"/>
    </row>
    <row r="1336" spans="2:12" x14ac:dyDescent="0.2">
      <c r="B1336" s="5" t="s">
        <v>7</v>
      </c>
      <c r="C1336" s="23" t="s">
        <v>8</v>
      </c>
      <c r="D1336" s="23"/>
      <c r="E1336" s="7" t="s">
        <v>9</v>
      </c>
      <c r="F1336" s="5"/>
      <c r="G1336" s="5"/>
      <c r="H1336" s="5"/>
      <c r="I1336" s="5"/>
      <c r="J1336" s="7" t="s">
        <v>10</v>
      </c>
      <c r="K1336" s="15"/>
      <c r="L1336" s="5"/>
    </row>
    <row r="1337" spans="2:12" x14ac:dyDescent="0.2">
      <c r="B1337" s="28" t="s">
        <v>33</v>
      </c>
      <c r="C1337" s="28"/>
      <c r="D1337" s="6" t="s">
        <v>11</v>
      </c>
      <c r="E1337" s="7" t="s">
        <v>12</v>
      </c>
      <c r="F1337" s="8" t="s">
        <v>13</v>
      </c>
      <c r="G1337" s="7" t="s">
        <v>14</v>
      </c>
      <c r="H1337" s="9" t="s">
        <v>15</v>
      </c>
      <c r="I1337" s="5"/>
      <c r="J1337" s="5"/>
      <c r="K1337" s="5"/>
      <c r="L1337" s="5"/>
    </row>
    <row r="1338" spans="2:12" ht="14.25" customHeight="1" x14ac:dyDescent="0.2">
      <c r="B1338" s="5" t="s">
        <v>16</v>
      </c>
      <c r="C1338" s="27" t="s">
        <v>17</v>
      </c>
      <c r="D1338" s="27"/>
      <c r="E1338" s="27"/>
      <c r="F1338" s="27"/>
      <c r="G1338" s="27"/>
      <c r="H1338" s="5"/>
      <c r="I1338" s="5"/>
      <c r="J1338" s="5"/>
      <c r="K1338" s="5"/>
      <c r="L1338" s="5"/>
    </row>
    <row r="1339" spans="2:12" x14ac:dyDescent="0.2">
      <c r="B1339" s="5"/>
      <c r="C1339" s="27" t="s">
        <v>18</v>
      </c>
      <c r="D1339" s="27"/>
      <c r="E1339" s="27"/>
      <c r="F1339" s="27"/>
      <c r="G1339" s="27"/>
      <c r="H1339" s="5"/>
      <c r="I1339" s="5"/>
      <c r="J1339" s="5"/>
      <c r="K1339" s="5"/>
      <c r="L1339" s="5"/>
    </row>
    <row r="1340" spans="2:12" ht="9" customHeight="1" x14ac:dyDescent="0.2">
      <c r="B1340" s="5" t="s">
        <v>19</v>
      </c>
      <c r="C1340" s="5"/>
      <c r="D1340" s="5"/>
      <c r="E1340" s="5"/>
      <c r="F1340" s="5"/>
      <c r="G1340" s="5"/>
      <c r="H1340" s="5"/>
      <c r="I1340" s="5"/>
      <c r="J1340" s="5"/>
      <c r="K1340" s="5"/>
      <c r="L1340" s="5"/>
    </row>
    <row r="1341" spans="2:12" x14ac:dyDescent="0.2">
      <c r="B1341" s="29" t="s">
        <v>20</v>
      </c>
      <c r="C1341" s="29"/>
      <c r="D1341" s="29"/>
      <c r="E1341" s="29"/>
      <c r="F1341" s="29"/>
      <c r="G1341" s="29"/>
      <c r="H1341" s="10" t="s">
        <v>21</v>
      </c>
      <c r="I1341" s="30" t="s">
        <v>22</v>
      </c>
      <c r="J1341" s="31"/>
      <c r="K1341" s="10" t="s">
        <v>23</v>
      </c>
      <c r="L1341" s="12"/>
    </row>
    <row r="1342" spans="2:12" ht="14.25" customHeight="1" x14ac:dyDescent="0.2">
      <c r="B1342" s="32"/>
      <c r="C1342" s="32"/>
      <c r="D1342" s="32"/>
      <c r="E1342" s="32"/>
      <c r="F1342" s="32"/>
      <c r="G1342" s="32"/>
      <c r="H1342" s="1"/>
      <c r="I1342" s="33"/>
      <c r="J1342" s="33"/>
      <c r="K1342" s="18"/>
      <c r="L1342" s="11"/>
    </row>
    <row r="1343" spans="2:12" x14ac:dyDescent="0.2">
      <c r="B1343" s="22"/>
      <c r="C1343" s="22"/>
      <c r="D1343" s="22"/>
      <c r="E1343" s="22"/>
      <c r="F1343" s="22"/>
      <c r="G1343" s="22"/>
      <c r="H1343" s="22"/>
      <c r="I1343" s="22"/>
      <c r="J1343" s="22"/>
      <c r="K1343" s="22"/>
      <c r="L1343" s="11"/>
    </row>
    <row r="1344" spans="2:12" x14ac:dyDescent="0.2">
      <c r="B1344" s="22"/>
      <c r="C1344" s="22"/>
      <c r="D1344" s="22"/>
      <c r="E1344" s="22"/>
      <c r="F1344" s="22"/>
      <c r="G1344" s="22"/>
      <c r="H1344" s="1"/>
      <c r="I1344" s="25"/>
      <c r="J1344" s="26"/>
      <c r="K1344" s="14"/>
      <c r="L1344" s="11"/>
    </row>
    <row r="1345" spans="2:12" x14ac:dyDescent="0.2">
      <c r="B1345" s="22"/>
      <c r="C1345" s="22"/>
      <c r="D1345" s="22"/>
      <c r="E1345" s="22"/>
      <c r="F1345" s="22"/>
      <c r="G1345" s="22"/>
      <c r="H1345" s="22"/>
      <c r="I1345" s="22"/>
      <c r="J1345" s="22"/>
      <c r="K1345" s="22"/>
      <c r="L1345" s="11"/>
    </row>
    <row r="1346" spans="2:12" x14ac:dyDescent="0.2">
      <c r="B1346" s="22"/>
      <c r="C1346" s="22"/>
      <c r="D1346" s="22"/>
      <c r="E1346" s="22"/>
      <c r="F1346" s="22"/>
      <c r="G1346" s="22"/>
      <c r="H1346" s="1"/>
      <c r="I1346" s="25"/>
      <c r="J1346" s="26"/>
      <c r="K1346" s="14"/>
      <c r="L1346" s="11"/>
    </row>
    <row r="1347" spans="2:12" x14ac:dyDescent="0.2">
      <c r="B1347" s="22"/>
      <c r="C1347" s="22"/>
      <c r="D1347" s="22"/>
      <c r="E1347" s="22"/>
      <c r="F1347" s="22"/>
      <c r="G1347" s="22"/>
      <c r="H1347" s="22"/>
      <c r="I1347" s="22"/>
      <c r="J1347" s="22"/>
      <c r="K1347" s="22"/>
      <c r="L1347" s="11"/>
    </row>
    <row r="1348" spans="2:12" ht="14.25" customHeight="1" x14ac:dyDescent="0.2">
      <c r="B1348" s="24"/>
      <c r="C1348" s="24"/>
      <c r="D1348" s="24"/>
      <c r="E1348" s="24"/>
      <c r="F1348" s="24"/>
      <c r="G1348" s="24"/>
      <c r="H1348" s="1"/>
      <c r="I1348" s="25"/>
      <c r="J1348" s="26"/>
      <c r="K1348" s="14"/>
      <c r="L1348" s="11"/>
    </row>
    <row r="1349" spans="2:12" x14ac:dyDescent="0.2">
      <c r="B1349" s="22"/>
      <c r="C1349" s="22"/>
      <c r="D1349" s="22"/>
      <c r="E1349" s="22"/>
      <c r="F1349" s="22"/>
      <c r="G1349" s="22"/>
      <c r="H1349" s="22"/>
      <c r="I1349" s="22"/>
      <c r="J1349" s="22"/>
      <c r="K1349" s="22"/>
      <c r="L1349" s="11"/>
    </row>
    <row r="1350" spans="2:12" x14ac:dyDescent="0.2">
      <c r="B1350" s="22"/>
      <c r="C1350" s="22"/>
      <c r="D1350" s="22"/>
      <c r="E1350" s="22"/>
      <c r="F1350" s="22"/>
      <c r="G1350" s="22"/>
      <c r="H1350" s="1"/>
      <c r="I1350" s="25"/>
      <c r="J1350" s="26"/>
      <c r="K1350" s="14"/>
      <c r="L1350" s="11"/>
    </row>
    <row r="1351" spans="2:12" x14ac:dyDescent="0.2">
      <c r="B1351" s="22"/>
      <c r="C1351" s="22"/>
      <c r="D1351" s="22"/>
      <c r="E1351" s="22"/>
      <c r="F1351" s="22"/>
      <c r="G1351" s="22"/>
      <c r="H1351" s="22"/>
      <c r="I1351" s="22"/>
      <c r="J1351" s="22"/>
      <c r="K1351" s="22"/>
      <c r="L1351" s="11"/>
    </row>
    <row r="1352" spans="2:12" x14ac:dyDescent="0.2">
      <c r="B1352" s="22"/>
      <c r="C1352" s="22"/>
      <c r="D1352" s="22"/>
      <c r="E1352" s="22"/>
      <c r="F1352" s="22"/>
      <c r="G1352" s="22"/>
      <c r="H1352" s="1"/>
      <c r="I1352" s="25"/>
      <c r="J1352" s="26"/>
      <c r="K1352" s="14"/>
      <c r="L1352" s="11"/>
    </row>
    <row r="1353" spans="2:12" x14ac:dyDescent="0.2">
      <c r="B1353" s="22"/>
      <c r="C1353" s="22"/>
      <c r="D1353" s="22"/>
      <c r="E1353" s="22"/>
      <c r="F1353" s="22"/>
      <c r="G1353" s="22"/>
      <c r="H1353" s="22"/>
      <c r="I1353" s="22"/>
      <c r="J1353" s="22"/>
      <c r="K1353" s="22"/>
      <c r="L1353" s="11"/>
    </row>
    <row r="1354" spans="2:12" x14ac:dyDescent="0.2">
      <c r="B1354" s="22"/>
      <c r="C1354" s="22"/>
      <c r="D1354" s="22"/>
      <c r="E1354" s="22"/>
      <c r="F1354" s="22"/>
      <c r="G1354" s="22"/>
      <c r="H1354" s="1"/>
      <c r="I1354" s="25"/>
      <c r="J1354" s="26"/>
      <c r="K1354" s="14"/>
      <c r="L1354" s="11"/>
    </row>
    <row r="1355" spans="2:12" x14ac:dyDescent="0.2">
      <c r="B1355" s="22"/>
      <c r="C1355" s="22"/>
      <c r="D1355" s="22"/>
      <c r="E1355" s="22"/>
      <c r="F1355" s="22"/>
      <c r="G1355" s="22"/>
      <c r="H1355" s="22"/>
      <c r="I1355" s="22"/>
      <c r="J1355" s="22"/>
      <c r="K1355" s="22"/>
      <c r="L1355" s="11"/>
    </row>
    <row r="1356" spans="2:12" ht="14.25" customHeight="1" x14ac:dyDescent="0.2">
      <c r="B1356" s="24"/>
      <c r="C1356" s="24"/>
      <c r="D1356" s="24"/>
      <c r="E1356" s="24"/>
      <c r="F1356" s="24"/>
      <c r="G1356" s="24"/>
      <c r="H1356" s="1"/>
      <c r="I1356" s="25"/>
      <c r="J1356" s="26"/>
      <c r="K1356" s="14"/>
      <c r="L1356" s="11"/>
    </row>
    <row r="1357" spans="2:12" x14ac:dyDescent="0.2">
      <c r="B1357" s="22"/>
      <c r="C1357" s="22"/>
      <c r="D1357" s="22"/>
      <c r="E1357" s="22"/>
      <c r="F1357" s="22"/>
      <c r="G1357" s="22"/>
      <c r="H1357" s="22"/>
      <c r="I1357" s="22"/>
      <c r="J1357" s="22"/>
      <c r="K1357" s="22"/>
    </row>
    <row r="1358" spans="2:12" ht="14.25" customHeight="1" x14ac:dyDescent="0.2">
      <c r="B1358" s="24"/>
      <c r="C1358" s="24"/>
      <c r="D1358" s="24"/>
      <c r="E1358" s="24"/>
      <c r="F1358" s="24"/>
      <c r="G1358" s="24"/>
      <c r="H1358" s="1"/>
      <c r="I1358" s="37"/>
      <c r="J1358" s="26"/>
      <c r="K1358" s="14"/>
    </row>
    <row r="1359" spans="2:12" x14ac:dyDescent="0.2">
      <c r="B1359" s="22"/>
      <c r="C1359" s="22"/>
      <c r="D1359" s="22"/>
      <c r="E1359" s="22"/>
      <c r="F1359" s="22"/>
      <c r="G1359" s="22"/>
      <c r="H1359" s="22"/>
      <c r="I1359" s="22"/>
      <c r="J1359" s="22"/>
      <c r="K1359" s="22"/>
    </row>
    <row r="1360" spans="2:12" x14ac:dyDescent="0.2">
      <c r="B1360" s="22"/>
      <c r="C1360" s="22"/>
      <c r="D1360" s="22"/>
      <c r="E1360" s="22"/>
      <c r="F1360" s="22"/>
      <c r="G1360" s="22"/>
      <c r="H1360" s="1"/>
      <c r="I1360" s="21"/>
      <c r="J1360" s="21"/>
      <c r="K1360" s="11"/>
    </row>
    <row r="1361" spans="1:12" x14ac:dyDescent="0.2">
      <c r="B1361" s="22"/>
      <c r="C1361" s="22"/>
      <c r="D1361" s="22"/>
      <c r="E1361" s="22"/>
      <c r="F1361" s="22"/>
      <c r="G1361" s="22"/>
      <c r="H1361" s="1"/>
      <c r="I1361" s="21"/>
      <c r="J1361" s="21"/>
      <c r="K1361" s="11"/>
    </row>
    <row r="1362" spans="1:12" x14ac:dyDescent="0.2">
      <c r="B1362" s="5" t="s">
        <v>24</v>
      </c>
      <c r="C1362" s="5"/>
      <c r="D1362" s="5"/>
      <c r="E1362" s="5"/>
      <c r="F1362" s="7" t="s">
        <v>25</v>
      </c>
      <c r="G1362" s="5"/>
      <c r="H1362" s="5"/>
      <c r="K1362" s="16">
        <f>SUM(K1342,K1344,K1346,K1348,K1350,K1352,K1354,K1356,K1358)</f>
        <v>0</v>
      </c>
    </row>
    <row r="1363" spans="1:12" x14ac:dyDescent="0.2">
      <c r="B1363" s="5"/>
      <c r="C1363" s="5"/>
      <c r="D1363" s="5"/>
      <c r="E1363" s="5"/>
      <c r="F1363" s="7" t="s">
        <v>26</v>
      </c>
      <c r="G1363" s="5"/>
      <c r="H1363" s="5"/>
      <c r="K1363" s="16">
        <v>0</v>
      </c>
    </row>
    <row r="1364" spans="1:12" x14ac:dyDescent="0.2">
      <c r="B1364" s="5"/>
      <c r="C1364" s="5"/>
      <c r="D1364" s="5"/>
      <c r="E1364" s="5"/>
      <c r="F1364" s="7" t="s">
        <v>27</v>
      </c>
      <c r="G1364" s="5"/>
      <c r="H1364" s="5"/>
      <c r="K1364" s="16">
        <f>K1362+K1363</f>
        <v>0</v>
      </c>
    </row>
    <row r="1365" spans="1:12" x14ac:dyDescent="0.2">
      <c r="B1365" s="28" t="s">
        <v>28</v>
      </c>
      <c r="C1365" s="28"/>
      <c r="D1365" s="28"/>
      <c r="E1365" s="5"/>
      <c r="F1365" s="7" t="s">
        <v>29</v>
      </c>
      <c r="G1365" s="5"/>
      <c r="H1365" s="13">
        <v>0.16</v>
      </c>
      <c r="K1365" s="17">
        <f>K1364*0.16</f>
        <v>0</v>
      </c>
    </row>
    <row r="1366" spans="1:12" x14ac:dyDescent="0.2">
      <c r="B1366" s="5"/>
      <c r="C1366" s="5"/>
      <c r="D1366" s="5"/>
      <c r="E1366" s="5"/>
      <c r="F1366" s="7" t="s">
        <v>30</v>
      </c>
      <c r="G1366" s="5"/>
      <c r="H1366" s="5"/>
      <c r="K1366" s="17">
        <f>K1364*1.16</f>
        <v>0</v>
      </c>
    </row>
    <row r="1370" spans="1:12" ht="13.5" customHeight="1" x14ac:dyDescent="0.2">
      <c r="A1370" s="35" t="s">
        <v>34</v>
      </c>
      <c r="B1370" s="35"/>
      <c r="C1370" s="35"/>
      <c r="D1370" s="35"/>
      <c r="E1370" s="35"/>
      <c r="F1370" s="35"/>
      <c r="G1370" s="35"/>
      <c r="H1370" s="35"/>
      <c r="I1370" s="35"/>
      <c r="J1370" s="35"/>
      <c r="K1370" s="35"/>
      <c r="L1370" s="35"/>
    </row>
    <row r="1371" spans="1:12" x14ac:dyDescent="0.2">
      <c r="A1371" s="35"/>
      <c r="B1371" s="35"/>
      <c r="C1371" s="35"/>
      <c r="D1371" s="35"/>
      <c r="E1371" s="35"/>
      <c r="F1371" s="35"/>
      <c r="G1371" s="35"/>
      <c r="H1371" s="35"/>
      <c r="I1371" s="35"/>
      <c r="J1371" s="35"/>
      <c r="K1371" s="35"/>
      <c r="L1371" s="35"/>
    </row>
    <row r="1372" spans="1:12" ht="15" customHeight="1" x14ac:dyDescent="0.2">
      <c r="A1372" s="36" t="s">
        <v>31</v>
      </c>
      <c r="B1372" s="36"/>
      <c r="C1372" s="36"/>
      <c r="D1372" s="36"/>
      <c r="E1372" s="36"/>
      <c r="F1372" s="36"/>
      <c r="G1372" s="36"/>
      <c r="H1372" s="36"/>
      <c r="I1372" s="36"/>
      <c r="J1372" s="36"/>
      <c r="K1372" s="36"/>
      <c r="L1372" s="36"/>
    </row>
    <row r="1373" spans="1:12" ht="15" customHeight="1" x14ac:dyDescent="0.2"/>
    <row r="1374" spans="1:12" x14ac:dyDescent="0.2">
      <c r="C1374" s="2" t="s">
        <v>32</v>
      </c>
      <c r="D1374" s="2"/>
      <c r="E1374" s="2"/>
      <c r="F1374" s="2"/>
      <c r="G1374" s="2"/>
      <c r="H1374" s="2"/>
      <c r="I1374" s="2"/>
      <c r="J1374" s="2"/>
      <c r="K1374" s="2"/>
      <c r="L1374" s="2"/>
    </row>
    <row r="1375" spans="1:12" x14ac:dyDescent="0.2">
      <c r="D1375" s="2"/>
      <c r="E1375" s="2"/>
      <c r="F1375" s="2"/>
      <c r="G1375" s="2"/>
      <c r="H1375" s="2"/>
      <c r="J1375" s="2"/>
      <c r="K1375" s="2"/>
    </row>
    <row r="1376" spans="1:12" x14ac:dyDescent="0.2">
      <c r="C1376" s="2"/>
      <c r="I1376" s="2"/>
    </row>
    <row r="1378" spans="2:12" x14ac:dyDescent="0.2">
      <c r="K1378" s="39"/>
    </row>
    <row r="1379" spans="2:12" x14ac:dyDescent="0.2">
      <c r="K1379" s="39"/>
    </row>
    <row r="1382" spans="2:12" x14ac:dyDescent="0.2">
      <c r="C1382" s="20" t="s">
        <v>0</v>
      </c>
      <c r="D1382" s="20"/>
      <c r="E1382" s="5"/>
      <c r="F1382" s="6"/>
      <c r="H1382" s="5" t="s">
        <v>1</v>
      </c>
      <c r="I1382" s="4"/>
    </row>
    <row r="1383" spans="2:12" ht="20.25" customHeight="1" x14ac:dyDescent="0.2"/>
    <row r="1384" spans="2:12" ht="14.25" customHeight="1" x14ac:dyDescent="0.2">
      <c r="B1384" s="5" t="s">
        <v>2</v>
      </c>
      <c r="C1384" s="34" t="s">
        <v>3</v>
      </c>
      <c r="D1384" s="34"/>
      <c r="E1384" s="5"/>
      <c r="F1384" s="5" t="s">
        <v>4</v>
      </c>
      <c r="G1384" s="5"/>
      <c r="H1384" s="8" t="s">
        <v>5</v>
      </c>
      <c r="J1384" s="7" t="s">
        <v>6</v>
      </c>
      <c r="K1384" s="15"/>
    </row>
    <row r="1385" spans="2:12" x14ac:dyDescent="0.2">
      <c r="B1385" s="5" t="s">
        <v>7</v>
      </c>
      <c r="C1385" s="23" t="s">
        <v>8</v>
      </c>
      <c r="D1385" s="23"/>
      <c r="E1385" s="7" t="s">
        <v>9</v>
      </c>
      <c r="F1385" s="5"/>
      <c r="G1385" s="5"/>
      <c r="H1385" s="5"/>
      <c r="I1385" s="5"/>
      <c r="J1385" s="7" t="s">
        <v>10</v>
      </c>
      <c r="K1385" s="15"/>
      <c r="L1385" s="5"/>
    </row>
    <row r="1386" spans="2:12" x14ac:dyDescent="0.2">
      <c r="B1386" s="28" t="s">
        <v>33</v>
      </c>
      <c r="C1386" s="28"/>
      <c r="D1386" s="6" t="s">
        <v>11</v>
      </c>
      <c r="E1386" s="7" t="s">
        <v>12</v>
      </c>
      <c r="F1386" s="8" t="s">
        <v>13</v>
      </c>
      <c r="G1386" s="7" t="s">
        <v>14</v>
      </c>
      <c r="H1386" s="9" t="s">
        <v>15</v>
      </c>
      <c r="I1386" s="5"/>
      <c r="J1386" s="5"/>
      <c r="K1386" s="5"/>
      <c r="L1386" s="5"/>
    </row>
    <row r="1387" spans="2:12" ht="14.25" customHeight="1" x14ac:dyDescent="0.2">
      <c r="B1387" s="5" t="s">
        <v>16</v>
      </c>
      <c r="C1387" s="27" t="s">
        <v>17</v>
      </c>
      <c r="D1387" s="27"/>
      <c r="E1387" s="27"/>
      <c r="F1387" s="27"/>
      <c r="G1387" s="27"/>
      <c r="H1387" s="5"/>
      <c r="I1387" s="5"/>
      <c r="J1387" s="5"/>
      <c r="K1387" s="5"/>
      <c r="L1387" s="5"/>
    </row>
    <row r="1388" spans="2:12" x14ac:dyDescent="0.2">
      <c r="B1388" s="5"/>
      <c r="C1388" s="27" t="s">
        <v>18</v>
      </c>
      <c r="D1388" s="27"/>
      <c r="E1388" s="27"/>
      <c r="F1388" s="27"/>
      <c r="G1388" s="27"/>
      <c r="H1388" s="5"/>
      <c r="I1388" s="5"/>
      <c r="J1388" s="5"/>
      <c r="K1388" s="5"/>
      <c r="L1388" s="5"/>
    </row>
    <row r="1389" spans="2:12" ht="9" customHeight="1" x14ac:dyDescent="0.2">
      <c r="B1389" s="5" t="s">
        <v>19</v>
      </c>
      <c r="C1389" s="5"/>
      <c r="D1389" s="5"/>
      <c r="E1389" s="5"/>
      <c r="F1389" s="5"/>
      <c r="G1389" s="5"/>
      <c r="H1389" s="5"/>
      <c r="I1389" s="5"/>
      <c r="J1389" s="5"/>
      <c r="K1389" s="5"/>
      <c r="L1389" s="5"/>
    </row>
    <row r="1390" spans="2:12" x14ac:dyDescent="0.2">
      <c r="B1390" s="29" t="s">
        <v>20</v>
      </c>
      <c r="C1390" s="29"/>
      <c r="D1390" s="29"/>
      <c r="E1390" s="29"/>
      <c r="F1390" s="29"/>
      <c r="G1390" s="29"/>
      <c r="H1390" s="10" t="s">
        <v>21</v>
      </c>
      <c r="I1390" s="30" t="s">
        <v>22</v>
      </c>
      <c r="J1390" s="31"/>
      <c r="K1390" s="10" t="s">
        <v>23</v>
      </c>
      <c r="L1390" s="12"/>
    </row>
    <row r="1391" spans="2:12" ht="14.25" customHeight="1" x14ac:dyDescent="0.2">
      <c r="B1391" s="32"/>
      <c r="C1391" s="32"/>
      <c r="D1391" s="32"/>
      <c r="E1391" s="32"/>
      <c r="F1391" s="32"/>
      <c r="G1391" s="32"/>
      <c r="H1391" s="1"/>
      <c r="I1391" s="33"/>
      <c r="J1391" s="33"/>
      <c r="K1391" s="18"/>
      <c r="L1391" s="11"/>
    </row>
    <row r="1392" spans="2:12" x14ac:dyDescent="0.2">
      <c r="B1392" s="22"/>
      <c r="C1392" s="22"/>
      <c r="D1392" s="22"/>
      <c r="E1392" s="22"/>
      <c r="F1392" s="22"/>
      <c r="G1392" s="22"/>
      <c r="H1392" s="22"/>
      <c r="I1392" s="22"/>
      <c r="J1392" s="22"/>
      <c r="K1392" s="22"/>
      <c r="L1392" s="11"/>
    </row>
    <row r="1393" spans="2:12" x14ac:dyDescent="0.2">
      <c r="B1393" s="22"/>
      <c r="C1393" s="22"/>
      <c r="D1393" s="22"/>
      <c r="E1393" s="22"/>
      <c r="F1393" s="22"/>
      <c r="G1393" s="22"/>
      <c r="H1393" s="1"/>
      <c r="I1393" s="25"/>
      <c r="J1393" s="26"/>
      <c r="K1393" s="14"/>
      <c r="L1393" s="11"/>
    </row>
    <row r="1394" spans="2:12" x14ac:dyDescent="0.2">
      <c r="B1394" s="22"/>
      <c r="C1394" s="22"/>
      <c r="D1394" s="22"/>
      <c r="E1394" s="22"/>
      <c r="F1394" s="22"/>
      <c r="G1394" s="22"/>
      <c r="H1394" s="22"/>
      <c r="I1394" s="22"/>
      <c r="J1394" s="22"/>
      <c r="K1394" s="22"/>
      <c r="L1394" s="11"/>
    </row>
    <row r="1395" spans="2:12" x14ac:dyDescent="0.2">
      <c r="B1395" s="22"/>
      <c r="C1395" s="22"/>
      <c r="D1395" s="22"/>
      <c r="E1395" s="22"/>
      <c r="F1395" s="22"/>
      <c r="G1395" s="22"/>
      <c r="H1395" s="1"/>
      <c r="I1395" s="25"/>
      <c r="J1395" s="26"/>
      <c r="K1395" s="14"/>
      <c r="L1395" s="11"/>
    </row>
    <row r="1396" spans="2:12" x14ac:dyDescent="0.2">
      <c r="B1396" s="22"/>
      <c r="C1396" s="22"/>
      <c r="D1396" s="22"/>
      <c r="E1396" s="22"/>
      <c r="F1396" s="22"/>
      <c r="G1396" s="22"/>
      <c r="H1396" s="22"/>
      <c r="I1396" s="22"/>
      <c r="J1396" s="22"/>
      <c r="K1396" s="22"/>
      <c r="L1396" s="11"/>
    </row>
    <row r="1397" spans="2:12" ht="14.25" customHeight="1" x14ac:dyDescent="0.2">
      <c r="B1397" s="24"/>
      <c r="C1397" s="24"/>
      <c r="D1397" s="24"/>
      <c r="E1397" s="24"/>
      <c r="F1397" s="24"/>
      <c r="G1397" s="24"/>
      <c r="H1397" s="1"/>
      <c r="I1397" s="25"/>
      <c r="J1397" s="26"/>
      <c r="K1397" s="14"/>
      <c r="L1397" s="11"/>
    </row>
    <row r="1398" spans="2:12" x14ac:dyDescent="0.2">
      <c r="B1398" s="22"/>
      <c r="C1398" s="22"/>
      <c r="D1398" s="22"/>
      <c r="E1398" s="22"/>
      <c r="F1398" s="22"/>
      <c r="G1398" s="22"/>
      <c r="H1398" s="22"/>
      <c r="I1398" s="22"/>
      <c r="J1398" s="22"/>
      <c r="K1398" s="22"/>
      <c r="L1398" s="11"/>
    </row>
    <row r="1399" spans="2:12" x14ac:dyDescent="0.2">
      <c r="B1399" s="22"/>
      <c r="C1399" s="22"/>
      <c r="D1399" s="22"/>
      <c r="E1399" s="22"/>
      <c r="F1399" s="22"/>
      <c r="G1399" s="22"/>
      <c r="H1399" s="1"/>
      <c r="I1399" s="25"/>
      <c r="J1399" s="26"/>
      <c r="K1399" s="14"/>
      <c r="L1399" s="11"/>
    </row>
    <row r="1400" spans="2:12" x14ac:dyDescent="0.2">
      <c r="B1400" s="22"/>
      <c r="C1400" s="22"/>
      <c r="D1400" s="22"/>
      <c r="E1400" s="22"/>
      <c r="F1400" s="22"/>
      <c r="G1400" s="22"/>
      <c r="H1400" s="22"/>
      <c r="I1400" s="22"/>
      <c r="J1400" s="22"/>
      <c r="K1400" s="22"/>
      <c r="L1400" s="11"/>
    </row>
    <row r="1401" spans="2:12" x14ac:dyDescent="0.2">
      <c r="B1401" s="22"/>
      <c r="C1401" s="22"/>
      <c r="D1401" s="22"/>
      <c r="E1401" s="22"/>
      <c r="F1401" s="22"/>
      <c r="G1401" s="22"/>
      <c r="H1401" s="1"/>
      <c r="I1401" s="25"/>
      <c r="J1401" s="26"/>
      <c r="K1401" s="14"/>
      <c r="L1401" s="11"/>
    </row>
    <row r="1402" spans="2:12" x14ac:dyDescent="0.2">
      <c r="B1402" s="22"/>
      <c r="C1402" s="22"/>
      <c r="D1402" s="22"/>
      <c r="E1402" s="22"/>
      <c r="F1402" s="22"/>
      <c r="G1402" s="22"/>
      <c r="H1402" s="22"/>
      <c r="I1402" s="22"/>
      <c r="J1402" s="22"/>
      <c r="K1402" s="22"/>
      <c r="L1402" s="11"/>
    </row>
    <row r="1403" spans="2:12" x14ac:dyDescent="0.2">
      <c r="B1403" s="22"/>
      <c r="C1403" s="22"/>
      <c r="D1403" s="22"/>
      <c r="E1403" s="22"/>
      <c r="F1403" s="22"/>
      <c r="G1403" s="22"/>
      <c r="H1403" s="1"/>
      <c r="I1403" s="25"/>
      <c r="J1403" s="26"/>
      <c r="K1403" s="14"/>
      <c r="L1403" s="11"/>
    </row>
    <row r="1404" spans="2:12" x14ac:dyDescent="0.2">
      <c r="B1404" s="22"/>
      <c r="C1404" s="22"/>
      <c r="D1404" s="22"/>
      <c r="E1404" s="22"/>
      <c r="F1404" s="22"/>
      <c r="G1404" s="22"/>
      <c r="H1404" s="22"/>
      <c r="I1404" s="22"/>
      <c r="J1404" s="22"/>
      <c r="K1404" s="22"/>
      <c r="L1404" s="11"/>
    </row>
    <row r="1405" spans="2:12" ht="14.25" customHeight="1" x14ac:dyDescent="0.2">
      <c r="B1405" s="24"/>
      <c r="C1405" s="24"/>
      <c r="D1405" s="24"/>
      <c r="E1405" s="24"/>
      <c r="F1405" s="24"/>
      <c r="G1405" s="24"/>
      <c r="H1405" s="1"/>
      <c r="I1405" s="25"/>
      <c r="J1405" s="26"/>
      <c r="K1405" s="14"/>
      <c r="L1405" s="11"/>
    </row>
    <row r="1406" spans="2:12" x14ac:dyDescent="0.2">
      <c r="B1406" s="22"/>
      <c r="C1406" s="22"/>
      <c r="D1406" s="22"/>
      <c r="E1406" s="22"/>
      <c r="F1406" s="22"/>
      <c r="G1406" s="22"/>
      <c r="H1406" s="22"/>
      <c r="I1406" s="22"/>
      <c r="J1406" s="22"/>
      <c r="K1406" s="22"/>
    </row>
    <row r="1407" spans="2:12" ht="14.25" customHeight="1" x14ac:dyDescent="0.2">
      <c r="B1407" s="24"/>
      <c r="C1407" s="24"/>
      <c r="D1407" s="24"/>
      <c r="E1407" s="24"/>
      <c r="F1407" s="24"/>
      <c r="G1407" s="24"/>
      <c r="H1407" s="1"/>
      <c r="I1407" s="37"/>
      <c r="J1407" s="26"/>
      <c r="K1407" s="14"/>
    </row>
    <row r="1408" spans="2:12" x14ac:dyDescent="0.2">
      <c r="B1408" s="22"/>
      <c r="C1408" s="22"/>
      <c r="D1408" s="22"/>
      <c r="E1408" s="22"/>
      <c r="F1408" s="22"/>
      <c r="G1408" s="22"/>
      <c r="H1408" s="22"/>
      <c r="I1408" s="22"/>
      <c r="J1408" s="22"/>
      <c r="K1408" s="22"/>
    </row>
    <row r="1409" spans="1:12" x14ac:dyDescent="0.2">
      <c r="B1409" s="22"/>
      <c r="C1409" s="22"/>
      <c r="D1409" s="22"/>
      <c r="E1409" s="22"/>
      <c r="F1409" s="22"/>
      <c r="G1409" s="22"/>
      <c r="H1409" s="1"/>
      <c r="I1409" s="21"/>
      <c r="J1409" s="21"/>
      <c r="K1409" s="11"/>
    </row>
    <row r="1410" spans="1:12" x14ac:dyDescent="0.2">
      <c r="B1410" s="22"/>
      <c r="C1410" s="22"/>
      <c r="D1410" s="22"/>
      <c r="E1410" s="22"/>
      <c r="F1410" s="22"/>
      <c r="G1410" s="22"/>
      <c r="H1410" s="1"/>
      <c r="I1410" s="21"/>
      <c r="J1410" s="21"/>
      <c r="K1410" s="11"/>
    </row>
    <row r="1411" spans="1:12" x14ac:dyDescent="0.2">
      <c r="B1411" s="5" t="s">
        <v>24</v>
      </c>
      <c r="C1411" s="5"/>
      <c r="D1411" s="5"/>
      <c r="E1411" s="5"/>
      <c r="F1411" s="7" t="s">
        <v>25</v>
      </c>
      <c r="G1411" s="5"/>
      <c r="H1411" s="5"/>
      <c r="K1411" s="16">
        <f>SUM(K1391,K1393,K1395,K1397,K1399,K1401,K1403,K1405,K1407)</f>
        <v>0</v>
      </c>
    </row>
    <row r="1412" spans="1:12" x14ac:dyDescent="0.2">
      <c r="B1412" s="5"/>
      <c r="C1412" s="5"/>
      <c r="D1412" s="5"/>
      <c r="E1412" s="5"/>
      <c r="F1412" s="7" t="s">
        <v>26</v>
      </c>
      <c r="G1412" s="5"/>
      <c r="H1412" s="5"/>
      <c r="K1412" s="16">
        <v>0</v>
      </c>
    </row>
    <row r="1413" spans="1:12" x14ac:dyDescent="0.2">
      <c r="B1413" s="5"/>
      <c r="C1413" s="5"/>
      <c r="D1413" s="5"/>
      <c r="E1413" s="5"/>
      <c r="F1413" s="7" t="s">
        <v>27</v>
      </c>
      <c r="G1413" s="5"/>
      <c r="H1413" s="5"/>
      <c r="K1413" s="16">
        <f>K1411+K1412</f>
        <v>0</v>
      </c>
    </row>
    <row r="1414" spans="1:12" x14ac:dyDescent="0.2">
      <c r="B1414" s="28" t="s">
        <v>28</v>
      </c>
      <c r="C1414" s="28"/>
      <c r="D1414" s="28"/>
      <c r="E1414" s="5"/>
      <c r="F1414" s="7" t="s">
        <v>29</v>
      </c>
      <c r="G1414" s="5"/>
      <c r="H1414" s="13">
        <v>0.16</v>
      </c>
      <c r="K1414" s="17">
        <f>K1413*0.16</f>
        <v>0</v>
      </c>
    </row>
    <row r="1415" spans="1:12" x14ac:dyDescent="0.2">
      <c r="B1415" s="5"/>
      <c r="C1415" s="5"/>
      <c r="D1415" s="5"/>
      <c r="E1415" s="5"/>
      <c r="F1415" s="7" t="s">
        <v>30</v>
      </c>
      <c r="G1415" s="5"/>
      <c r="H1415" s="5"/>
      <c r="K1415" s="17">
        <f>K1413*1.16</f>
        <v>0</v>
      </c>
    </row>
    <row r="1419" spans="1:12" ht="13.5" customHeight="1" x14ac:dyDescent="0.2">
      <c r="A1419" s="35" t="s">
        <v>34</v>
      </c>
      <c r="B1419" s="35"/>
      <c r="C1419" s="35"/>
      <c r="D1419" s="35"/>
      <c r="E1419" s="35"/>
      <c r="F1419" s="35"/>
      <c r="G1419" s="35"/>
      <c r="H1419" s="35"/>
      <c r="I1419" s="35"/>
      <c r="J1419" s="35"/>
      <c r="K1419" s="35"/>
      <c r="L1419" s="35"/>
    </row>
    <row r="1420" spans="1:12" x14ac:dyDescent="0.2">
      <c r="A1420" s="35"/>
      <c r="B1420" s="35"/>
      <c r="C1420" s="35"/>
      <c r="D1420" s="35"/>
      <c r="E1420" s="35"/>
      <c r="F1420" s="35"/>
      <c r="G1420" s="35"/>
      <c r="H1420" s="35"/>
      <c r="I1420" s="35"/>
      <c r="J1420" s="35"/>
      <c r="K1420" s="35"/>
      <c r="L1420" s="35"/>
    </row>
    <row r="1421" spans="1:12" ht="15" customHeight="1" x14ac:dyDescent="0.2">
      <c r="A1421" s="36" t="s">
        <v>31</v>
      </c>
      <c r="B1421" s="36"/>
      <c r="C1421" s="36"/>
      <c r="D1421" s="36"/>
      <c r="E1421" s="36"/>
      <c r="F1421" s="36"/>
      <c r="G1421" s="36"/>
      <c r="H1421" s="36"/>
      <c r="I1421" s="36"/>
      <c r="J1421" s="36"/>
      <c r="K1421" s="36"/>
      <c r="L1421" s="36"/>
    </row>
    <row r="1422" spans="1:12" ht="15" customHeight="1" x14ac:dyDescent="0.2"/>
    <row r="1423" spans="1:12" x14ac:dyDescent="0.2">
      <c r="C1423" s="2" t="s">
        <v>32</v>
      </c>
      <c r="D1423" s="2"/>
      <c r="E1423" s="2"/>
      <c r="F1423" s="2"/>
      <c r="G1423" s="2"/>
      <c r="H1423" s="2"/>
      <c r="I1423" s="2"/>
      <c r="J1423" s="2"/>
      <c r="K1423" s="2"/>
      <c r="L1423" s="2"/>
    </row>
    <row r="1424" spans="1:12" x14ac:dyDescent="0.2">
      <c r="D1424" s="2"/>
      <c r="E1424" s="2"/>
      <c r="F1424" s="2"/>
      <c r="G1424" s="2"/>
      <c r="H1424" s="2"/>
      <c r="J1424" s="2"/>
      <c r="K1424" s="2"/>
    </row>
    <row r="1425" spans="2:12" x14ac:dyDescent="0.2">
      <c r="C1425" s="2"/>
      <c r="I1425" s="2"/>
    </row>
    <row r="1427" spans="2:12" x14ac:dyDescent="0.2">
      <c r="K1427" s="39"/>
    </row>
    <row r="1428" spans="2:12" x14ac:dyDescent="0.2">
      <c r="K1428" s="39"/>
    </row>
    <row r="1431" spans="2:12" x14ac:dyDescent="0.2">
      <c r="C1431" s="20" t="s">
        <v>0</v>
      </c>
      <c r="D1431" s="20"/>
      <c r="E1431" s="5"/>
      <c r="F1431" s="6"/>
      <c r="H1431" s="5" t="s">
        <v>1</v>
      </c>
      <c r="I1431" s="4"/>
    </row>
    <row r="1432" spans="2:12" ht="20.25" customHeight="1" x14ac:dyDescent="0.2"/>
    <row r="1433" spans="2:12" ht="14.25" customHeight="1" x14ac:dyDescent="0.2">
      <c r="B1433" s="5" t="s">
        <v>2</v>
      </c>
      <c r="C1433" s="34" t="s">
        <v>3</v>
      </c>
      <c r="D1433" s="34"/>
      <c r="E1433" s="5"/>
      <c r="F1433" s="5" t="s">
        <v>4</v>
      </c>
      <c r="G1433" s="5"/>
      <c r="H1433" s="8" t="s">
        <v>5</v>
      </c>
      <c r="J1433" s="7" t="s">
        <v>6</v>
      </c>
      <c r="K1433" s="15"/>
    </row>
    <row r="1434" spans="2:12" x14ac:dyDescent="0.2">
      <c r="B1434" s="5" t="s">
        <v>7</v>
      </c>
      <c r="C1434" s="23" t="s">
        <v>8</v>
      </c>
      <c r="D1434" s="23"/>
      <c r="E1434" s="7" t="s">
        <v>9</v>
      </c>
      <c r="F1434" s="5"/>
      <c r="G1434" s="5"/>
      <c r="H1434" s="5"/>
      <c r="I1434" s="5"/>
      <c r="J1434" s="7" t="s">
        <v>10</v>
      </c>
      <c r="K1434" s="15"/>
      <c r="L1434" s="5"/>
    </row>
    <row r="1435" spans="2:12" x14ac:dyDescent="0.2">
      <c r="B1435" s="28" t="s">
        <v>33</v>
      </c>
      <c r="C1435" s="28"/>
      <c r="D1435" s="6" t="s">
        <v>11</v>
      </c>
      <c r="E1435" s="7" t="s">
        <v>12</v>
      </c>
      <c r="F1435" s="8" t="s">
        <v>13</v>
      </c>
      <c r="G1435" s="7" t="s">
        <v>14</v>
      </c>
      <c r="H1435" s="9" t="s">
        <v>15</v>
      </c>
      <c r="I1435" s="5"/>
      <c r="J1435" s="5"/>
      <c r="K1435" s="5"/>
      <c r="L1435" s="5"/>
    </row>
    <row r="1436" spans="2:12" ht="14.25" customHeight="1" x14ac:dyDescent="0.2">
      <c r="B1436" s="5" t="s">
        <v>16</v>
      </c>
      <c r="C1436" s="27" t="s">
        <v>17</v>
      </c>
      <c r="D1436" s="27"/>
      <c r="E1436" s="27"/>
      <c r="F1436" s="27"/>
      <c r="G1436" s="27"/>
      <c r="H1436" s="5"/>
      <c r="I1436" s="5"/>
      <c r="J1436" s="5"/>
      <c r="K1436" s="5"/>
      <c r="L1436" s="5"/>
    </row>
    <row r="1437" spans="2:12" x14ac:dyDescent="0.2">
      <c r="B1437" s="5"/>
      <c r="C1437" s="27" t="s">
        <v>18</v>
      </c>
      <c r="D1437" s="27"/>
      <c r="E1437" s="27"/>
      <c r="F1437" s="27"/>
      <c r="G1437" s="27"/>
      <c r="H1437" s="5"/>
      <c r="I1437" s="5"/>
      <c r="J1437" s="5"/>
      <c r="K1437" s="5"/>
      <c r="L1437" s="5"/>
    </row>
    <row r="1438" spans="2:12" ht="9" customHeight="1" x14ac:dyDescent="0.2">
      <c r="B1438" s="5" t="s">
        <v>19</v>
      </c>
      <c r="C1438" s="5"/>
      <c r="D1438" s="5"/>
      <c r="E1438" s="5"/>
      <c r="F1438" s="5"/>
      <c r="G1438" s="5"/>
      <c r="H1438" s="5"/>
      <c r="I1438" s="5"/>
      <c r="J1438" s="5"/>
      <c r="K1438" s="5"/>
      <c r="L1438" s="5"/>
    </row>
    <row r="1439" spans="2:12" x14ac:dyDescent="0.2">
      <c r="B1439" s="29" t="s">
        <v>20</v>
      </c>
      <c r="C1439" s="29"/>
      <c r="D1439" s="29"/>
      <c r="E1439" s="29"/>
      <c r="F1439" s="29"/>
      <c r="G1439" s="29"/>
      <c r="H1439" s="10" t="s">
        <v>21</v>
      </c>
      <c r="I1439" s="30" t="s">
        <v>22</v>
      </c>
      <c r="J1439" s="31"/>
      <c r="K1439" s="10" t="s">
        <v>23</v>
      </c>
      <c r="L1439" s="12"/>
    </row>
    <row r="1440" spans="2:12" ht="14.25" customHeight="1" x14ac:dyDescent="0.2">
      <c r="B1440" s="32"/>
      <c r="C1440" s="32"/>
      <c r="D1440" s="32"/>
      <c r="E1440" s="32"/>
      <c r="F1440" s="32"/>
      <c r="G1440" s="32"/>
      <c r="H1440" s="1"/>
      <c r="I1440" s="33"/>
      <c r="J1440" s="33"/>
      <c r="K1440" s="18"/>
      <c r="L1440" s="11"/>
    </row>
    <row r="1441" spans="2:12" x14ac:dyDescent="0.2">
      <c r="B1441" s="22"/>
      <c r="C1441" s="22"/>
      <c r="D1441" s="22"/>
      <c r="E1441" s="22"/>
      <c r="F1441" s="22"/>
      <c r="G1441" s="22"/>
      <c r="H1441" s="22"/>
      <c r="I1441" s="22"/>
      <c r="J1441" s="22"/>
      <c r="K1441" s="22"/>
      <c r="L1441" s="11"/>
    </row>
    <row r="1442" spans="2:12" x14ac:dyDescent="0.2">
      <c r="B1442" s="22"/>
      <c r="C1442" s="22"/>
      <c r="D1442" s="22"/>
      <c r="E1442" s="22"/>
      <c r="F1442" s="22"/>
      <c r="G1442" s="22"/>
      <c r="H1442" s="1"/>
      <c r="I1442" s="25"/>
      <c r="J1442" s="26"/>
      <c r="K1442" s="14"/>
      <c r="L1442" s="11"/>
    </row>
    <row r="1443" spans="2:12" x14ac:dyDescent="0.2">
      <c r="B1443" s="22"/>
      <c r="C1443" s="22"/>
      <c r="D1443" s="22"/>
      <c r="E1443" s="22"/>
      <c r="F1443" s="22"/>
      <c r="G1443" s="22"/>
      <c r="H1443" s="22"/>
      <c r="I1443" s="22"/>
      <c r="J1443" s="22"/>
      <c r="K1443" s="22"/>
      <c r="L1443" s="11"/>
    </row>
    <row r="1444" spans="2:12" x14ac:dyDescent="0.2">
      <c r="B1444" s="22"/>
      <c r="C1444" s="22"/>
      <c r="D1444" s="22"/>
      <c r="E1444" s="22"/>
      <c r="F1444" s="22"/>
      <c r="G1444" s="22"/>
      <c r="H1444" s="1"/>
      <c r="I1444" s="25"/>
      <c r="J1444" s="26"/>
      <c r="K1444" s="14"/>
      <c r="L1444" s="11"/>
    </row>
    <row r="1445" spans="2:12" x14ac:dyDescent="0.2">
      <c r="B1445" s="22"/>
      <c r="C1445" s="22"/>
      <c r="D1445" s="22"/>
      <c r="E1445" s="22"/>
      <c r="F1445" s="22"/>
      <c r="G1445" s="22"/>
      <c r="H1445" s="22"/>
      <c r="I1445" s="22"/>
      <c r="J1445" s="22"/>
      <c r="K1445" s="22"/>
      <c r="L1445" s="11"/>
    </row>
    <row r="1446" spans="2:12" ht="14.25" customHeight="1" x14ac:dyDescent="0.2">
      <c r="B1446" s="24"/>
      <c r="C1446" s="24"/>
      <c r="D1446" s="24"/>
      <c r="E1446" s="24"/>
      <c r="F1446" s="24"/>
      <c r="G1446" s="24"/>
      <c r="H1446" s="1"/>
      <c r="I1446" s="25"/>
      <c r="J1446" s="26"/>
      <c r="K1446" s="14"/>
      <c r="L1446" s="11"/>
    </row>
    <row r="1447" spans="2:12" x14ac:dyDescent="0.2">
      <c r="B1447" s="22"/>
      <c r="C1447" s="22"/>
      <c r="D1447" s="22"/>
      <c r="E1447" s="22"/>
      <c r="F1447" s="22"/>
      <c r="G1447" s="22"/>
      <c r="H1447" s="22"/>
      <c r="I1447" s="22"/>
      <c r="J1447" s="22"/>
      <c r="K1447" s="22"/>
      <c r="L1447" s="11"/>
    </row>
    <row r="1448" spans="2:12" x14ac:dyDescent="0.2">
      <c r="B1448" s="22"/>
      <c r="C1448" s="22"/>
      <c r="D1448" s="22"/>
      <c r="E1448" s="22"/>
      <c r="F1448" s="22"/>
      <c r="G1448" s="22"/>
      <c r="H1448" s="1"/>
      <c r="I1448" s="25"/>
      <c r="J1448" s="26"/>
      <c r="K1448" s="14"/>
      <c r="L1448" s="11"/>
    </row>
    <row r="1449" spans="2:12" x14ac:dyDescent="0.2">
      <c r="B1449" s="22"/>
      <c r="C1449" s="22"/>
      <c r="D1449" s="22"/>
      <c r="E1449" s="22"/>
      <c r="F1449" s="22"/>
      <c r="G1449" s="22"/>
      <c r="H1449" s="22"/>
      <c r="I1449" s="22"/>
      <c r="J1449" s="22"/>
      <c r="K1449" s="22"/>
      <c r="L1449" s="11"/>
    </row>
    <row r="1450" spans="2:12" x14ac:dyDescent="0.2">
      <c r="B1450" s="22"/>
      <c r="C1450" s="22"/>
      <c r="D1450" s="22"/>
      <c r="E1450" s="22"/>
      <c r="F1450" s="22"/>
      <c r="G1450" s="22"/>
      <c r="H1450" s="1"/>
      <c r="I1450" s="25"/>
      <c r="J1450" s="26"/>
      <c r="K1450" s="14"/>
      <c r="L1450" s="11"/>
    </row>
    <row r="1451" spans="2:12" x14ac:dyDescent="0.2">
      <c r="B1451" s="22"/>
      <c r="C1451" s="22"/>
      <c r="D1451" s="22"/>
      <c r="E1451" s="22"/>
      <c r="F1451" s="22"/>
      <c r="G1451" s="22"/>
      <c r="H1451" s="22"/>
      <c r="I1451" s="22"/>
      <c r="J1451" s="22"/>
      <c r="K1451" s="22"/>
      <c r="L1451" s="11"/>
    </row>
    <row r="1452" spans="2:12" x14ac:dyDescent="0.2">
      <c r="B1452" s="22"/>
      <c r="C1452" s="22"/>
      <c r="D1452" s="22"/>
      <c r="E1452" s="22"/>
      <c r="F1452" s="22"/>
      <c r="G1452" s="22"/>
      <c r="H1452" s="1"/>
      <c r="I1452" s="25"/>
      <c r="J1452" s="26"/>
      <c r="K1452" s="14"/>
      <c r="L1452" s="11"/>
    </row>
    <row r="1453" spans="2:12" x14ac:dyDescent="0.2">
      <c r="B1453" s="22"/>
      <c r="C1453" s="22"/>
      <c r="D1453" s="22"/>
      <c r="E1453" s="22"/>
      <c r="F1453" s="22"/>
      <c r="G1453" s="22"/>
      <c r="H1453" s="22"/>
      <c r="I1453" s="22"/>
      <c r="J1453" s="22"/>
      <c r="K1453" s="22"/>
      <c r="L1453" s="11"/>
    </row>
    <row r="1454" spans="2:12" ht="14.25" customHeight="1" x14ac:dyDescent="0.2">
      <c r="B1454" s="24"/>
      <c r="C1454" s="24"/>
      <c r="D1454" s="24"/>
      <c r="E1454" s="24"/>
      <c r="F1454" s="24"/>
      <c r="G1454" s="24"/>
      <c r="H1454" s="1"/>
      <c r="I1454" s="25"/>
      <c r="J1454" s="26"/>
      <c r="K1454" s="14"/>
      <c r="L1454" s="11"/>
    </row>
    <row r="1455" spans="2:12" x14ac:dyDescent="0.2">
      <c r="B1455" s="22"/>
      <c r="C1455" s="22"/>
      <c r="D1455" s="22"/>
      <c r="E1455" s="22"/>
      <c r="F1455" s="22"/>
      <c r="G1455" s="22"/>
      <c r="H1455" s="22"/>
      <c r="I1455" s="22"/>
      <c r="J1455" s="22"/>
      <c r="K1455" s="22"/>
    </row>
    <row r="1456" spans="2:12" ht="14.25" customHeight="1" x14ac:dyDescent="0.2">
      <c r="B1456" s="24"/>
      <c r="C1456" s="24"/>
      <c r="D1456" s="24"/>
      <c r="E1456" s="24"/>
      <c r="F1456" s="24"/>
      <c r="G1456" s="24"/>
      <c r="H1456" s="1"/>
      <c r="I1456" s="37"/>
      <c r="J1456" s="26"/>
      <c r="K1456" s="14"/>
    </row>
    <row r="1457" spans="1:12" x14ac:dyDescent="0.2">
      <c r="B1457" s="22"/>
      <c r="C1457" s="22"/>
      <c r="D1457" s="22"/>
      <c r="E1457" s="22"/>
      <c r="F1457" s="22"/>
      <c r="G1457" s="22"/>
      <c r="H1457" s="22"/>
      <c r="I1457" s="22"/>
      <c r="J1457" s="22"/>
      <c r="K1457" s="22"/>
    </row>
    <row r="1458" spans="1:12" x14ac:dyDescent="0.2">
      <c r="B1458" s="22"/>
      <c r="C1458" s="22"/>
      <c r="D1458" s="22"/>
      <c r="E1458" s="22"/>
      <c r="F1458" s="22"/>
      <c r="G1458" s="22"/>
      <c r="H1458" s="1"/>
      <c r="I1458" s="21"/>
      <c r="J1458" s="21"/>
      <c r="K1458" s="11"/>
    </row>
    <row r="1459" spans="1:12" x14ac:dyDescent="0.2">
      <c r="B1459" s="22"/>
      <c r="C1459" s="22"/>
      <c r="D1459" s="22"/>
      <c r="E1459" s="22"/>
      <c r="F1459" s="22"/>
      <c r="G1459" s="22"/>
      <c r="H1459" s="1"/>
      <c r="I1459" s="21"/>
      <c r="J1459" s="21"/>
      <c r="K1459" s="11"/>
    </row>
    <row r="1460" spans="1:12" x14ac:dyDescent="0.2">
      <c r="B1460" s="5" t="s">
        <v>24</v>
      </c>
      <c r="C1460" s="5"/>
      <c r="D1460" s="5"/>
      <c r="E1460" s="5"/>
      <c r="F1460" s="7" t="s">
        <v>25</v>
      </c>
      <c r="G1460" s="5"/>
      <c r="H1460" s="5"/>
      <c r="K1460" s="16">
        <f>SUM(K1440,K1442,K1444,K1446,K1448,K1450,K1452,K1454,K1456)</f>
        <v>0</v>
      </c>
    </row>
    <row r="1461" spans="1:12" x14ac:dyDescent="0.2">
      <c r="B1461" s="5"/>
      <c r="C1461" s="5"/>
      <c r="D1461" s="5"/>
      <c r="E1461" s="5"/>
      <c r="F1461" s="7" t="s">
        <v>26</v>
      </c>
      <c r="G1461" s="5"/>
      <c r="H1461" s="5"/>
      <c r="K1461" s="16">
        <v>0</v>
      </c>
    </row>
    <row r="1462" spans="1:12" x14ac:dyDescent="0.2">
      <c r="B1462" s="5"/>
      <c r="C1462" s="5"/>
      <c r="D1462" s="5"/>
      <c r="E1462" s="5"/>
      <c r="F1462" s="7" t="s">
        <v>27</v>
      </c>
      <c r="G1462" s="5"/>
      <c r="H1462" s="5"/>
      <c r="K1462" s="16">
        <f>K1460+K1461</f>
        <v>0</v>
      </c>
    </row>
    <row r="1463" spans="1:12" x14ac:dyDescent="0.2">
      <c r="B1463" s="28" t="s">
        <v>28</v>
      </c>
      <c r="C1463" s="28"/>
      <c r="D1463" s="28"/>
      <c r="E1463" s="5"/>
      <c r="F1463" s="7" t="s">
        <v>29</v>
      </c>
      <c r="G1463" s="5"/>
      <c r="H1463" s="13">
        <v>0.16</v>
      </c>
      <c r="K1463" s="17">
        <f>K1462*0.16</f>
        <v>0</v>
      </c>
    </row>
    <row r="1464" spans="1:12" x14ac:dyDescent="0.2">
      <c r="B1464" s="5"/>
      <c r="C1464" s="5"/>
      <c r="D1464" s="5"/>
      <c r="E1464" s="5"/>
      <c r="F1464" s="7" t="s">
        <v>30</v>
      </c>
      <c r="G1464" s="5"/>
      <c r="H1464" s="5"/>
      <c r="K1464" s="17">
        <f>K1462*1.16</f>
        <v>0</v>
      </c>
    </row>
    <row r="1468" spans="1:12" ht="13.5" customHeight="1" x14ac:dyDescent="0.2">
      <c r="A1468" s="35" t="s">
        <v>34</v>
      </c>
      <c r="B1468" s="35"/>
      <c r="C1468" s="35"/>
      <c r="D1468" s="35"/>
      <c r="E1468" s="35"/>
      <c r="F1468" s="35"/>
      <c r="G1468" s="35"/>
      <c r="H1468" s="35"/>
      <c r="I1468" s="35"/>
      <c r="J1468" s="35"/>
      <c r="K1468" s="35"/>
      <c r="L1468" s="35"/>
    </row>
    <row r="1469" spans="1:12" x14ac:dyDescent="0.2">
      <c r="A1469" s="35"/>
      <c r="B1469" s="35"/>
      <c r="C1469" s="35"/>
      <c r="D1469" s="35"/>
      <c r="E1469" s="35"/>
      <c r="F1469" s="35"/>
      <c r="G1469" s="35"/>
      <c r="H1469" s="35"/>
      <c r="I1469" s="35"/>
      <c r="J1469" s="35"/>
      <c r="K1469" s="35"/>
      <c r="L1469" s="35"/>
    </row>
    <row r="1470" spans="1:12" ht="15" customHeight="1" x14ac:dyDescent="0.2">
      <c r="A1470" s="36" t="s">
        <v>31</v>
      </c>
      <c r="B1470" s="36"/>
      <c r="C1470" s="36"/>
      <c r="D1470" s="36"/>
      <c r="E1470" s="36"/>
      <c r="F1470" s="36"/>
      <c r="G1470" s="36"/>
      <c r="H1470" s="36"/>
      <c r="I1470" s="36"/>
      <c r="J1470" s="36"/>
      <c r="K1470" s="36"/>
      <c r="L1470" s="36"/>
    </row>
    <row r="1471" spans="1:12" ht="15" customHeight="1" x14ac:dyDescent="0.2"/>
    <row r="1472" spans="1:12" x14ac:dyDescent="0.2">
      <c r="C1472" s="2" t="s">
        <v>32</v>
      </c>
      <c r="D1472" s="2"/>
      <c r="E1472" s="2"/>
      <c r="F1472" s="2"/>
      <c r="G1472" s="2"/>
      <c r="H1472" s="2"/>
      <c r="I1472" s="2"/>
      <c r="J1472" s="2"/>
      <c r="K1472" s="2"/>
      <c r="L1472" s="2"/>
    </row>
    <row r="1473" spans="2:12" x14ac:dyDescent="0.2">
      <c r="D1473" s="2"/>
      <c r="E1473" s="2"/>
      <c r="F1473" s="2"/>
      <c r="G1473" s="2"/>
      <c r="H1473" s="2"/>
      <c r="J1473" s="2"/>
      <c r="K1473" s="2"/>
    </row>
    <row r="1474" spans="2:12" x14ac:dyDescent="0.2">
      <c r="C1474" s="2"/>
      <c r="I1474" s="2"/>
    </row>
    <row r="1476" spans="2:12" x14ac:dyDescent="0.2">
      <c r="K1476" s="39"/>
    </row>
    <row r="1477" spans="2:12" x14ac:dyDescent="0.2">
      <c r="K1477" s="39"/>
    </row>
    <row r="1480" spans="2:12" x14ac:dyDescent="0.2">
      <c r="C1480" s="20" t="s">
        <v>0</v>
      </c>
      <c r="D1480" s="20"/>
      <c r="E1480" s="5"/>
      <c r="F1480" s="6"/>
      <c r="H1480" s="5" t="s">
        <v>1</v>
      </c>
      <c r="I1480" s="4"/>
    </row>
    <row r="1481" spans="2:12" ht="20.25" customHeight="1" x14ac:dyDescent="0.2"/>
    <row r="1482" spans="2:12" ht="14.25" customHeight="1" x14ac:dyDescent="0.2">
      <c r="B1482" s="5" t="s">
        <v>2</v>
      </c>
      <c r="C1482" s="34" t="s">
        <v>3</v>
      </c>
      <c r="D1482" s="34"/>
      <c r="E1482" s="5"/>
      <c r="F1482" s="5" t="s">
        <v>4</v>
      </c>
      <c r="G1482" s="5"/>
      <c r="H1482" s="8" t="s">
        <v>5</v>
      </c>
      <c r="J1482" s="7" t="s">
        <v>6</v>
      </c>
      <c r="K1482" s="15"/>
    </row>
    <row r="1483" spans="2:12" x14ac:dyDescent="0.2">
      <c r="B1483" s="5" t="s">
        <v>7</v>
      </c>
      <c r="C1483" s="23" t="s">
        <v>8</v>
      </c>
      <c r="D1483" s="23"/>
      <c r="E1483" s="7" t="s">
        <v>9</v>
      </c>
      <c r="F1483" s="5"/>
      <c r="G1483" s="5"/>
      <c r="H1483" s="5"/>
      <c r="I1483" s="5"/>
      <c r="J1483" s="7" t="s">
        <v>10</v>
      </c>
      <c r="K1483" s="15"/>
      <c r="L1483" s="5"/>
    </row>
    <row r="1484" spans="2:12" x14ac:dyDescent="0.2">
      <c r="B1484" s="28" t="s">
        <v>33</v>
      </c>
      <c r="C1484" s="28"/>
      <c r="D1484" s="6" t="s">
        <v>11</v>
      </c>
      <c r="E1484" s="7" t="s">
        <v>12</v>
      </c>
      <c r="F1484" s="8" t="s">
        <v>13</v>
      </c>
      <c r="G1484" s="7" t="s">
        <v>14</v>
      </c>
      <c r="H1484" s="9" t="s">
        <v>15</v>
      </c>
      <c r="I1484" s="5"/>
      <c r="J1484" s="5"/>
      <c r="K1484" s="5"/>
      <c r="L1484" s="5"/>
    </row>
    <row r="1485" spans="2:12" ht="14.25" customHeight="1" x14ac:dyDescent="0.2">
      <c r="B1485" s="5" t="s">
        <v>16</v>
      </c>
      <c r="C1485" s="27" t="s">
        <v>17</v>
      </c>
      <c r="D1485" s="27"/>
      <c r="E1485" s="27"/>
      <c r="F1485" s="27"/>
      <c r="G1485" s="27"/>
      <c r="H1485" s="5"/>
      <c r="I1485" s="5"/>
      <c r="J1485" s="5"/>
      <c r="K1485" s="5"/>
      <c r="L1485" s="5"/>
    </row>
    <row r="1486" spans="2:12" x14ac:dyDescent="0.2">
      <c r="B1486" s="5"/>
      <c r="C1486" s="27" t="s">
        <v>18</v>
      </c>
      <c r="D1486" s="27"/>
      <c r="E1486" s="27"/>
      <c r="F1486" s="27"/>
      <c r="G1486" s="27"/>
      <c r="H1486" s="5"/>
      <c r="I1486" s="5"/>
      <c r="J1486" s="5"/>
      <c r="K1486" s="5"/>
      <c r="L1486" s="5"/>
    </row>
    <row r="1487" spans="2:12" ht="9" customHeight="1" x14ac:dyDescent="0.2">
      <c r="B1487" s="5" t="s">
        <v>19</v>
      </c>
      <c r="C1487" s="5"/>
      <c r="D1487" s="5"/>
      <c r="E1487" s="5"/>
      <c r="F1487" s="5"/>
      <c r="G1487" s="5"/>
      <c r="H1487" s="5"/>
      <c r="I1487" s="5"/>
      <c r="J1487" s="5"/>
      <c r="K1487" s="5"/>
      <c r="L1487" s="5"/>
    </row>
    <row r="1488" spans="2:12" x14ac:dyDescent="0.2">
      <c r="B1488" s="29" t="s">
        <v>20</v>
      </c>
      <c r="C1488" s="29"/>
      <c r="D1488" s="29"/>
      <c r="E1488" s="29"/>
      <c r="F1488" s="29"/>
      <c r="G1488" s="29"/>
      <c r="H1488" s="10" t="s">
        <v>21</v>
      </c>
      <c r="I1488" s="30" t="s">
        <v>22</v>
      </c>
      <c r="J1488" s="31"/>
      <c r="K1488" s="10" t="s">
        <v>23</v>
      </c>
      <c r="L1488" s="12"/>
    </row>
    <row r="1489" spans="2:12" ht="14.25" customHeight="1" x14ac:dyDescent="0.2">
      <c r="B1489" s="32"/>
      <c r="C1489" s="32"/>
      <c r="D1489" s="32"/>
      <c r="E1489" s="32"/>
      <c r="F1489" s="32"/>
      <c r="G1489" s="32"/>
      <c r="H1489" s="1"/>
      <c r="I1489" s="33"/>
      <c r="J1489" s="33"/>
      <c r="K1489" s="18"/>
      <c r="L1489" s="11"/>
    </row>
    <row r="1490" spans="2:12" x14ac:dyDescent="0.2">
      <c r="B1490" s="22"/>
      <c r="C1490" s="22"/>
      <c r="D1490" s="22"/>
      <c r="E1490" s="22"/>
      <c r="F1490" s="22"/>
      <c r="G1490" s="22"/>
      <c r="H1490" s="22"/>
      <c r="I1490" s="22"/>
      <c r="J1490" s="22"/>
      <c r="K1490" s="22"/>
      <c r="L1490" s="11"/>
    </row>
    <row r="1491" spans="2:12" x14ac:dyDescent="0.2">
      <c r="B1491" s="22"/>
      <c r="C1491" s="22"/>
      <c r="D1491" s="22"/>
      <c r="E1491" s="22"/>
      <c r="F1491" s="22"/>
      <c r="G1491" s="22"/>
      <c r="H1491" s="1"/>
      <c r="I1491" s="25"/>
      <c r="J1491" s="26"/>
      <c r="K1491" s="14"/>
      <c r="L1491" s="11"/>
    </row>
    <row r="1492" spans="2:12" x14ac:dyDescent="0.2">
      <c r="B1492" s="22"/>
      <c r="C1492" s="22"/>
      <c r="D1492" s="22"/>
      <c r="E1492" s="22"/>
      <c r="F1492" s="22"/>
      <c r="G1492" s="22"/>
      <c r="H1492" s="22"/>
      <c r="I1492" s="22"/>
      <c r="J1492" s="22"/>
      <c r="K1492" s="22"/>
      <c r="L1492" s="11"/>
    </row>
    <row r="1493" spans="2:12" x14ac:dyDescent="0.2">
      <c r="B1493" s="22"/>
      <c r="C1493" s="22"/>
      <c r="D1493" s="22"/>
      <c r="E1493" s="22"/>
      <c r="F1493" s="22"/>
      <c r="G1493" s="22"/>
      <c r="H1493" s="1"/>
      <c r="I1493" s="25"/>
      <c r="J1493" s="26"/>
      <c r="K1493" s="14"/>
      <c r="L1493" s="11"/>
    </row>
    <row r="1494" spans="2:12" x14ac:dyDescent="0.2">
      <c r="B1494" s="22"/>
      <c r="C1494" s="22"/>
      <c r="D1494" s="22"/>
      <c r="E1494" s="22"/>
      <c r="F1494" s="22"/>
      <c r="G1494" s="22"/>
      <c r="H1494" s="22"/>
      <c r="I1494" s="22"/>
      <c r="J1494" s="22"/>
      <c r="K1494" s="22"/>
      <c r="L1494" s="11"/>
    </row>
    <row r="1495" spans="2:12" ht="14.25" customHeight="1" x14ac:dyDescent="0.2">
      <c r="B1495" s="24"/>
      <c r="C1495" s="24"/>
      <c r="D1495" s="24"/>
      <c r="E1495" s="24"/>
      <c r="F1495" s="24"/>
      <c r="G1495" s="24"/>
      <c r="H1495" s="1"/>
      <c r="I1495" s="25"/>
      <c r="J1495" s="26"/>
      <c r="K1495" s="14"/>
      <c r="L1495" s="11"/>
    </row>
    <row r="1496" spans="2:12" x14ac:dyDescent="0.2">
      <c r="B1496" s="22"/>
      <c r="C1496" s="22"/>
      <c r="D1496" s="22"/>
      <c r="E1496" s="22"/>
      <c r="F1496" s="22"/>
      <c r="G1496" s="22"/>
      <c r="H1496" s="22"/>
      <c r="I1496" s="22"/>
      <c r="J1496" s="22"/>
      <c r="K1496" s="22"/>
      <c r="L1496" s="11"/>
    </row>
    <row r="1497" spans="2:12" x14ac:dyDescent="0.2">
      <c r="B1497" s="22"/>
      <c r="C1497" s="22"/>
      <c r="D1497" s="22"/>
      <c r="E1497" s="22"/>
      <c r="F1497" s="22"/>
      <c r="G1497" s="22"/>
      <c r="H1497" s="1"/>
      <c r="I1497" s="25"/>
      <c r="J1497" s="26"/>
      <c r="K1497" s="14"/>
      <c r="L1497" s="11"/>
    </row>
    <row r="1498" spans="2:12" x14ac:dyDescent="0.2">
      <c r="B1498" s="22"/>
      <c r="C1498" s="22"/>
      <c r="D1498" s="22"/>
      <c r="E1498" s="22"/>
      <c r="F1498" s="22"/>
      <c r="G1498" s="22"/>
      <c r="H1498" s="22"/>
      <c r="I1498" s="22"/>
      <c r="J1498" s="22"/>
      <c r="K1498" s="22"/>
      <c r="L1498" s="11"/>
    </row>
    <row r="1499" spans="2:12" x14ac:dyDescent="0.2">
      <c r="B1499" s="22"/>
      <c r="C1499" s="22"/>
      <c r="D1499" s="22"/>
      <c r="E1499" s="22"/>
      <c r="F1499" s="22"/>
      <c r="G1499" s="22"/>
      <c r="H1499" s="1"/>
      <c r="I1499" s="25"/>
      <c r="J1499" s="26"/>
      <c r="K1499" s="14"/>
      <c r="L1499" s="11"/>
    </row>
    <row r="1500" spans="2:12" x14ac:dyDescent="0.2">
      <c r="B1500" s="22"/>
      <c r="C1500" s="22"/>
      <c r="D1500" s="22"/>
      <c r="E1500" s="22"/>
      <c r="F1500" s="22"/>
      <c r="G1500" s="22"/>
      <c r="H1500" s="22"/>
      <c r="I1500" s="22"/>
      <c r="J1500" s="22"/>
      <c r="K1500" s="22"/>
      <c r="L1500" s="11"/>
    </row>
    <row r="1501" spans="2:12" x14ac:dyDescent="0.2">
      <c r="B1501" s="22"/>
      <c r="C1501" s="22"/>
      <c r="D1501" s="22"/>
      <c r="E1501" s="22"/>
      <c r="F1501" s="22"/>
      <c r="G1501" s="22"/>
      <c r="H1501" s="1"/>
      <c r="I1501" s="25"/>
      <c r="J1501" s="26"/>
      <c r="K1501" s="14"/>
      <c r="L1501" s="11"/>
    </row>
    <row r="1502" spans="2:12" x14ac:dyDescent="0.2">
      <c r="B1502" s="22"/>
      <c r="C1502" s="22"/>
      <c r="D1502" s="22"/>
      <c r="E1502" s="22"/>
      <c r="F1502" s="22"/>
      <c r="G1502" s="22"/>
      <c r="H1502" s="22"/>
      <c r="I1502" s="22"/>
      <c r="J1502" s="22"/>
      <c r="K1502" s="22"/>
      <c r="L1502" s="11"/>
    </row>
    <row r="1503" spans="2:12" ht="14.25" customHeight="1" x14ac:dyDescent="0.2">
      <c r="B1503" s="24"/>
      <c r="C1503" s="24"/>
      <c r="D1503" s="24"/>
      <c r="E1503" s="24"/>
      <c r="F1503" s="24"/>
      <c r="G1503" s="24"/>
      <c r="H1503" s="1"/>
      <c r="I1503" s="25"/>
      <c r="J1503" s="26"/>
      <c r="K1503" s="14"/>
      <c r="L1503" s="11"/>
    </row>
    <row r="1504" spans="2:12" x14ac:dyDescent="0.2">
      <c r="B1504" s="22"/>
      <c r="C1504" s="22"/>
      <c r="D1504" s="22"/>
      <c r="E1504" s="22"/>
      <c r="F1504" s="22"/>
      <c r="G1504" s="22"/>
      <c r="H1504" s="22"/>
      <c r="I1504" s="22"/>
      <c r="J1504" s="22"/>
      <c r="K1504" s="22"/>
    </row>
    <row r="1505" spans="1:12" ht="14.25" customHeight="1" x14ac:dyDescent="0.2">
      <c r="B1505" s="24"/>
      <c r="C1505" s="24"/>
      <c r="D1505" s="24"/>
      <c r="E1505" s="24"/>
      <c r="F1505" s="24"/>
      <c r="G1505" s="24"/>
      <c r="H1505" s="1"/>
      <c r="I1505" s="37"/>
      <c r="J1505" s="26"/>
      <c r="K1505" s="14"/>
    </row>
    <row r="1506" spans="1:12" x14ac:dyDescent="0.2">
      <c r="B1506" s="22"/>
      <c r="C1506" s="22"/>
      <c r="D1506" s="22"/>
      <c r="E1506" s="22"/>
      <c r="F1506" s="22"/>
      <c r="G1506" s="22"/>
      <c r="H1506" s="22"/>
      <c r="I1506" s="22"/>
      <c r="J1506" s="22"/>
      <c r="K1506" s="22"/>
    </row>
    <row r="1507" spans="1:12" x14ac:dyDescent="0.2">
      <c r="B1507" s="22"/>
      <c r="C1507" s="22"/>
      <c r="D1507" s="22"/>
      <c r="E1507" s="22"/>
      <c r="F1507" s="22"/>
      <c r="G1507" s="22"/>
      <c r="H1507" s="1"/>
      <c r="I1507" s="21"/>
      <c r="J1507" s="21"/>
      <c r="K1507" s="11"/>
    </row>
    <row r="1508" spans="1:12" x14ac:dyDescent="0.2">
      <c r="B1508" s="22"/>
      <c r="C1508" s="22"/>
      <c r="D1508" s="22"/>
      <c r="E1508" s="22"/>
      <c r="F1508" s="22"/>
      <c r="G1508" s="22"/>
      <c r="H1508" s="1"/>
      <c r="I1508" s="21"/>
      <c r="J1508" s="21"/>
      <c r="K1508" s="11"/>
    </row>
    <row r="1509" spans="1:12" x14ac:dyDescent="0.2">
      <c r="B1509" s="5" t="s">
        <v>24</v>
      </c>
      <c r="C1509" s="5"/>
      <c r="D1509" s="5"/>
      <c r="E1509" s="5"/>
      <c r="F1509" s="7" t="s">
        <v>25</v>
      </c>
      <c r="G1509" s="5"/>
      <c r="H1509" s="5"/>
      <c r="K1509" s="16">
        <f>SUM(K1489,K1491,K1493,K1495,K1497,K1499,K1501,K1503,K1505)</f>
        <v>0</v>
      </c>
    </row>
    <row r="1510" spans="1:12" x14ac:dyDescent="0.2">
      <c r="B1510" s="5"/>
      <c r="C1510" s="5"/>
      <c r="D1510" s="5"/>
      <c r="E1510" s="5"/>
      <c r="F1510" s="7" t="s">
        <v>26</v>
      </c>
      <c r="G1510" s="5"/>
      <c r="H1510" s="5"/>
      <c r="K1510" s="16">
        <v>0</v>
      </c>
    </row>
    <row r="1511" spans="1:12" x14ac:dyDescent="0.2">
      <c r="B1511" s="5"/>
      <c r="C1511" s="5"/>
      <c r="D1511" s="5"/>
      <c r="E1511" s="5"/>
      <c r="F1511" s="7" t="s">
        <v>27</v>
      </c>
      <c r="G1511" s="5"/>
      <c r="H1511" s="5"/>
      <c r="K1511" s="16">
        <f>K1509+K1510</f>
        <v>0</v>
      </c>
    </row>
    <row r="1512" spans="1:12" x14ac:dyDescent="0.2">
      <c r="B1512" s="28" t="s">
        <v>28</v>
      </c>
      <c r="C1512" s="28"/>
      <c r="D1512" s="28"/>
      <c r="E1512" s="5"/>
      <c r="F1512" s="7" t="s">
        <v>29</v>
      </c>
      <c r="G1512" s="5"/>
      <c r="H1512" s="13">
        <v>0.16</v>
      </c>
      <c r="K1512" s="17">
        <f>K1511*0.16</f>
        <v>0</v>
      </c>
    </row>
    <row r="1513" spans="1:12" x14ac:dyDescent="0.2">
      <c r="B1513" s="5"/>
      <c r="C1513" s="5"/>
      <c r="D1513" s="5"/>
      <c r="E1513" s="5"/>
      <c r="F1513" s="7" t="s">
        <v>30</v>
      </c>
      <c r="G1513" s="5"/>
      <c r="H1513" s="5"/>
      <c r="K1513" s="17">
        <f>K1511*1.16</f>
        <v>0</v>
      </c>
    </row>
    <row r="1517" spans="1:12" ht="13.5" customHeight="1" x14ac:dyDescent="0.2">
      <c r="A1517" s="35" t="s">
        <v>34</v>
      </c>
      <c r="B1517" s="35"/>
      <c r="C1517" s="35"/>
      <c r="D1517" s="35"/>
      <c r="E1517" s="35"/>
      <c r="F1517" s="35"/>
      <c r="G1517" s="35"/>
      <c r="H1517" s="35"/>
      <c r="I1517" s="35"/>
      <c r="J1517" s="35"/>
      <c r="K1517" s="35"/>
      <c r="L1517" s="35"/>
    </row>
    <row r="1518" spans="1:12" x14ac:dyDescent="0.2">
      <c r="A1518" s="35"/>
      <c r="B1518" s="35"/>
      <c r="C1518" s="35"/>
      <c r="D1518" s="35"/>
      <c r="E1518" s="35"/>
      <c r="F1518" s="35"/>
      <c r="G1518" s="35"/>
      <c r="H1518" s="35"/>
      <c r="I1518" s="35"/>
      <c r="J1518" s="35"/>
      <c r="K1518" s="35"/>
      <c r="L1518" s="35"/>
    </row>
    <row r="1519" spans="1:12" ht="15" customHeight="1" x14ac:dyDescent="0.2">
      <c r="A1519" s="36" t="s">
        <v>31</v>
      </c>
      <c r="B1519" s="36"/>
      <c r="C1519" s="36"/>
      <c r="D1519" s="36"/>
      <c r="E1519" s="36"/>
      <c r="F1519" s="36"/>
      <c r="G1519" s="36"/>
      <c r="H1519" s="36"/>
      <c r="I1519" s="36"/>
      <c r="J1519" s="36"/>
      <c r="K1519" s="36"/>
      <c r="L1519" s="36"/>
    </row>
    <row r="1520" spans="1:12" ht="15" customHeight="1" x14ac:dyDescent="0.2"/>
    <row r="1521" spans="2:15" x14ac:dyDescent="0.2">
      <c r="C1521" s="2" t="s">
        <v>32</v>
      </c>
      <c r="D1521" s="2"/>
      <c r="E1521" s="2"/>
      <c r="F1521" s="2"/>
      <c r="G1521" s="2"/>
      <c r="H1521" s="2"/>
      <c r="I1521" s="2"/>
      <c r="J1521" s="2"/>
      <c r="K1521" s="2"/>
      <c r="L1521" s="2"/>
    </row>
    <row r="1522" spans="2:15" x14ac:dyDescent="0.2">
      <c r="D1522" s="2"/>
      <c r="E1522" s="2"/>
      <c r="F1522" s="2"/>
      <c r="G1522" s="2"/>
      <c r="H1522" s="2"/>
      <c r="J1522" s="2"/>
      <c r="K1522" s="2"/>
    </row>
    <row r="1523" spans="2:15" x14ac:dyDescent="0.2">
      <c r="C1523" s="2"/>
      <c r="I1523" s="2"/>
      <c r="O1523" s="3" t="s">
        <v>35</v>
      </c>
    </row>
    <row r="1525" spans="2:15" x14ac:dyDescent="0.2">
      <c r="K1525" s="39"/>
    </row>
    <row r="1526" spans="2:15" x14ac:dyDescent="0.2">
      <c r="K1526" s="39"/>
    </row>
    <row r="1529" spans="2:15" x14ac:dyDescent="0.2">
      <c r="C1529" s="20" t="s">
        <v>0</v>
      </c>
      <c r="D1529" s="20"/>
      <c r="E1529" s="5"/>
      <c r="F1529" s="6"/>
      <c r="H1529" s="5" t="s">
        <v>1</v>
      </c>
      <c r="I1529" s="4"/>
    </row>
    <row r="1530" spans="2:15" ht="20.25" customHeight="1" x14ac:dyDescent="0.2"/>
    <row r="1531" spans="2:15" ht="14.25" customHeight="1" x14ac:dyDescent="0.2">
      <c r="B1531" s="5" t="s">
        <v>2</v>
      </c>
      <c r="C1531" s="34" t="s">
        <v>3</v>
      </c>
      <c r="D1531" s="34"/>
      <c r="E1531" s="5"/>
      <c r="F1531" s="5" t="s">
        <v>4</v>
      </c>
      <c r="G1531" s="5"/>
      <c r="H1531" s="8" t="s">
        <v>5</v>
      </c>
      <c r="J1531" s="7" t="s">
        <v>6</v>
      </c>
      <c r="K1531" s="15"/>
    </row>
    <row r="1532" spans="2:15" x14ac:dyDescent="0.2">
      <c r="B1532" s="5" t="s">
        <v>7</v>
      </c>
      <c r="C1532" s="23" t="s">
        <v>8</v>
      </c>
      <c r="D1532" s="23"/>
      <c r="E1532" s="7" t="s">
        <v>9</v>
      </c>
      <c r="F1532" s="5"/>
      <c r="G1532" s="5"/>
      <c r="H1532" s="5"/>
      <c r="I1532" s="5"/>
      <c r="J1532" s="7" t="s">
        <v>10</v>
      </c>
      <c r="K1532" s="15"/>
      <c r="L1532" s="5"/>
    </row>
    <row r="1533" spans="2:15" x14ac:dyDescent="0.2">
      <c r="B1533" s="28" t="s">
        <v>33</v>
      </c>
      <c r="C1533" s="28"/>
      <c r="D1533" s="6" t="s">
        <v>11</v>
      </c>
      <c r="E1533" s="7" t="s">
        <v>12</v>
      </c>
      <c r="F1533" s="8" t="s">
        <v>13</v>
      </c>
      <c r="G1533" s="7" t="s">
        <v>14</v>
      </c>
      <c r="H1533" s="9" t="s">
        <v>15</v>
      </c>
      <c r="I1533" s="5"/>
      <c r="J1533" s="5"/>
      <c r="K1533" s="5"/>
      <c r="L1533" s="5"/>
    </row>
    <row r="1534" spans="2:15" ht="14.25" customHeight="1" x14ac:dyDescent="0.2">
      <c r="B1534" s="5" t="s">
        <v>16</v>
      </c>
      <c r="C1534" s="27" t="s">
        <v>17</v>
      </c>
      <c r="D1534" s="27"/>
      <c r="E1534" s="27"/>
      <c r="F1534" s="27"/>
      <c r="G1534" s="27"/>
      <c r="H1534" s="5"/>
      <c r="I1534" s="5"/>
      <c r="J1534" s="5"/>
      <c r="K1534" s="5"/>
      <c r="L1534" s="5"/>
    </row>
    <row r="1535" spans="2:15" x14ac:dyDescent="0.2">
      <c r="B1535" s="5"/>
      <c r="C1535" s="27" t="s">
        <v>18</v>
      </c>
      <c r="D1535" s="27"/>
      <c r="E1535" s="27"/>
      <c r="F1535" s="27"/>
      <c r="G1535" s="27"/>
      <c r="H1535" s="5"/>
      <c r="I1535" s="5"/>
      <c r="J1535" s="5"/>
      <c r="K1535" s="5"/>
      <c r="L1535" s="5"/>
    </row>
    <row r="1536" spans="2:15" ht="9" customHeight="1" x14ac:dyDescent="0.2">
      <c r="B1536" s="5" t="s">
        <v>19</v>
      </c>
      <c r="C1536" s="5"/>
      <c r="D1536" s="5"/>
      <c r="E1536" s="5"/>
      <c r="F1536" s="5"/>
      <c r="G1536" s="5"/>
      <c r="H1536" s="5"/>
      <c r="I1536" s="5"/>
      <c r="J1536" s="5"/>
      <c r="K1536" s="5"/>
      <c r="L1536" s="5"/>
    </row>
    <row r="1537" spans="2:12" x14ac:dyDescent="0.2">
      <c r="B1537" s="29" t="s">
        <v>20</v>
      </c>
      <c r="C1537" s="29"/>
      <c r="D1537" s="29"/>
      <c r="E1537" s="29"/>
      <c r="F1537" s="29"/>
      <c r="G1537" s="29"/>
      <c r="H1537" s="10" t="s">
        <v>21</v>
      </c>
      <c r="I1537" s="30" t="s">
        <v>22</v>
      </c>
      <c r="J1537" s="31"/>
      <c r="K1537" s="10" t="s">
        <v>23</v>
      </c>
      <c r="L1537" s="12"/>
    </row>
    <row r="1538" spans="2:12" ht="14.25" customHeight="1" x14ac:dyDescent="0.2">
      <c r="B1538" s="32"/>
      <c r="C1538" s="32"/>
      <c r="D1538" s="32"/>
      <c r="E1538" s="32"/>
      <c r="F1538" s="32"/>
      <c r="G1538" s="32"/>
      <c r="H1538" s="1"/>
      <c r="I1538" s="33"/>
      <c r="J1538" s="33"/>
      <c r="K1538" s="18"/>
      <c r="L1538" s="11"/>
    </row>
    <row r="1539" spans="2:12" x14ac:dyDescent="0.2">
      <c r="B1539" s="22"/>
      <c r="C1539" s="22"/>
      <c r="D1539" s="22"/>
      <c r="E1539" s="22"/>
      <c r="F1539" s="22"/>
      <c r="G1539" s="22"/>
      <c r="H1539" s="22"/>
      <c r="I1539" s="22"/>
      <c r="J1539" s="22"/>
      <c r="K1539" s="22"/>
      <c r="L1539" s="11"/>
    </row>
    <row r="1540" spans="2:12" x14ac:dyDescent="0.2">
      <c r="B1540" s="22"/>
      <c r="C1540" s="22"/>
      <c r="D1540" s="22"/>
      <c r="E1540" s="22"/>
      <c r="F1540" s="22"/>
      <c r="G1540" s="22"/>
      <c r="H1540" s="1"/>
      <c r="I1540" s="25"/>
      <c r="J1540" s="26"/>
      <c r="K1540" s="14"/>
      <c r="L1540" s="11"/>
    </row>
    <row r="1541" spans="2:12" x14ac:dyDescent="0.2">
      <c r="B1541" s="22"/>
      <c r="C1541" s="22"/>
      <c r="D1541" s="22"/>
      <c r="E1541" s="22"/>
      <c r="F1541" s="22"/>
      <c r="G1541" s="22"/>
      <c r="H1541" s="22"/>
      <c r="I1541" s="22"/>
      <c r="J1541" s="22"/>
      <c r="K1541" s="22"/>
      <c r="L1541" s="11"/>
    </row>
    <row r="1542" spans="2:12" x14ac:dyDescent="0.2">
      <c r="B1542" s="22"/>
      <c r="C1542" s="22"/>
      <c r="D1542" s="22"/>
      <c r="E1542" s="22"/>
      <c r="F1542" s="22"/>
      <c r="G1542" s="22"/>
      <c r="H1542" s="1"/>
      <c r="I1542" s="25"/>
      <c r="J1542" s="26"/>
      <c r="K1542" s="14"/>
      <c r="L1542" s="11"/>
    </row>
    <row r="1543" spans="2:12" x14ac:dyDescent="0.2">
      <c r="B1543" s="22"/>
      <c r="C1543" s="22"/>
      <c r="D1543" s="22"/>
      <c r="E1543" s="22"/>
      <c r="F1543" s="22"/>
      <c r="G1543" s="22"/>
      <c r="H1543" s="22"/>
      <c r="I1543" s="22"/>
      <c r="J1543" s="22"/>
      <c r="K1543" s="22"/>
      <c r="L1543" s="11"/>
    </row>
    <row r="1544" spans="2:12" ht="14.25" customHeight="1" x14ac:dyDescent="0.2">
      <c r="B1544" s="24"/>
      <c r="C1544" s="24"/>
      <c r="D1544" s="24"/>
      <c r="E1544" s="24"/>
      <c r="F1544" s="24"/>
      <c r="G1544" s="24"/>
      <c r="H1544" s="1"/>
      <c r="I1544" s="25"/>
      <c r="J1544" s="26"/>
      <c r="K1544" s="14"/>
      <c r="L1544" s="11"/>
    </row>
    <row r="1545" spans="2:12" x14ac:dyDescent="0.2">
      <c r="B1545" s="22"/>
      <c r="C1545" s="22"/>
      <c r="D1545" s="22"/>
      <c r="E1545" s="22"/>
      <c r="F1545" s="22"/>
      <c r="G1545" s="22"/>
      <c r="H1545" s="22"/>
      <c r="I1545" s="22"/>
      <c r="J1545" s="22"/>
      <c r="K1545" s="22"/>
      <c r="L1545" s="11"/>
    </row>
    <row r="1546" spans="2:12" x14ac:dyDescent="0.2">
      <c r="B1546" s="22"/>
      <c r="C1546" s="22"/>
      <c r="D1546" s="22"/>
      <c r="E1546" s="22"/>
      <c r="F1546" s="22"/>
      <c r="G1546" s="22"/>
      <c r="H1546" s="1"/>
      <c r="I1546" s="25"/>
      <c r="J1546" s="26"/>
      <c r="K1546" s="14"/>
      <c r="L1546" s="11"/>
    </row>
    <row r="1547" spans="2:12" x14ac:dyDescent="0.2">
      <c r="B1547" s="22"/>
      <c r="C1547" s="22"/>
      <c r="D1547" s="22"/>
      <c r="E1547" s="22"/>
      <c r="F1547" s="22"/>
      <c r="G1547" s="22"/>
      <c r="H1547" s="22"/>
      <c r="I1547" s="22"/>
      <c r="J1547" s="22"/>
      <c r="K1547" s="22"/>
      <c r="L1547" s="11"/>
    </row>
    <row r="1548" spans="2:12" x14ac:dyDescent="0.2">
      <c r="B1548" s="22"/>
      <c r="C1548" s="22"/>
      <c r="D1548" s="22"/>
      <c r="E1548" s="22"/>
      <c r="F1548" s="22"/>
      <c r="G1548" s="22"/>
      <c r="H1548" s="1"/>
      <c r="I1548" s="25"/>
      <c r="J1548" s="26"/>
      <c r="K1548" s="14"/>
      <c r="L1548" s="11"/>
    </row>
    <row r="1549" spans="2:12" x14ac:dyDescent="0.2">
      <c r="B1549" s="22"/>
      <c r="C1549" s="22"/>
      <c r="D1549" s="22"/>
      <c r="E1549" s="22"/>
      <c r="F1549" s="22"/>
      <c r="G1549" s="22"/>
      <c r="H1549" s="22"/>
      <c r="I1549" s="22"/>
      <c r="J1549" s="22"/>
      <c r="K1549" s="22"/>
      <c r="L1549" s="11"/>
    </row>
    <row r="1550" spans="2:12" x14ac:dyDescent="0.2">
      <c r="B1550" s="22"/>
      <c r="C1550" s="22"/>
      <c r="D1550" s="22"/>
      <c r="E1550" s="22"/>
      <c r="F1550" s="22"/>
      <c r="G1550" s="22"/>
      <c r="H1550" s="1"/>
      <c r="I1550" s="25"/>
      <c r="J1550" s="26"/>
      <c r="K1550" s="14"/>
      <c r="L1550" s="11"/>
    </row>
    <row r="1551" spans="2:12" x14ac:dyDescent="0.2">
      <c r="B1551" s="22"/>
      <c r="C1551" s="22"/>
      <c r="D1551" s="22"/>
      <c r="E1551" s="22"/>
      <c r="F1551" s="22"/>
      <c r="G1551" s="22"/>
      <c r="H1551" s="22"/>
      <c r="I1551" s="22"/>
      <c r="J1551" s="22"/>
      <c r="K1551" s="22"/>
      <c r="L1551" s="11"/>
    </row>
    <row r="1552" spans="2:12" ht="14.25" customHeight="1" x14ac:dyDescent="0.2">
      <c r="B1552" s="24"/>
      <c r="C1552" s="24"/>
      <c r="D1552" s="24"/>
      <c r="E1552" s="24"/>
      <c r="F1552" s="24"/>
      <c r="G1552" s="24"/>
      <c r="H1552" s="1"/>
      <c r="I1552" s="25"/>
      <c r="J1552" s="26"/>
      <c r="K1552" s="14"/>
      <c r="L1552" s="11"/>
    </row>
    <row r="1553" spans="1:12" x14ac:dyDescent="0.2">
      <c r="B1553" s="22"/>
      <c r="C1553" s="22"/>
      <c r="D1553" s="22"/>
      <c r="E1553" s="22"/>
      <c r="F1553" s="22"/>
      <c r="G1553" s="22"/>
      <c r="H1553" s="22"/>
      <c r="I1553" s="22"/>
      <c r="J1553" s="22"/>
      <c r="K1553" s="22"/>
    </row>
    <row r="1554" spans="1:12" ht="14.25" customHeight="1" x14ac:dyDescent="0.2">
      <c r="B1554" s="24"/>
      <c r="C1554" s="24"/>
      <c r="D1554" s="24"/>
      <c r="E1554" s="24"/>
      <c r="F1554" s="24"/>
      <c r="G1554" s="24"/>
      <c r="H1554" s="1"/>
      <c r="I1554" s="37"/>
      <c r="J1554" s="26"/>
      <c r="K1554" s="14"/>
    </row>
    <row r="1555" spans="1:12" x14ac:dyDescent="0.2">
      <c r="B1555" s="22"/>
      <c r="C1555" s="22"/>
      <c r="D1555" s="22"/>
      <c r="E1555" s="22"/>
      <c r="F1555" s="22"/>
      <c r="G1555" s="22"/>
      <c r="H1555" s="22"/>
      <c r="I1555" s="22"/>
      <c r="J1555" s="22"/>
      <c r="K1555" s="22"/>
    </row>
    <row r="1556" spans="1:12" x14ac:dyDescent="0.2">
      <c r="B1556" s="22"/>
      <c r="C1556" s="22"/>
      <c r="D1556" s="22"/>
      <c r="E1556" s="22"/>
      <c r="F1556" s="22"/>
      <c r="G1556" s="22"/>
      <c r="H1556" s="1"/>
      <c r="I1556" s="21"/>
      <c r="J1556" s="21"/>
      <c r="K1556" s="11"/>
    </row>
    <row r="1557" spans="1:12" x14ac:dyDescent="0.2">
      <c r="B1557" s="22"/>
      <c r="C1557" s="22"/>
      <c r="D1557" s="22"/>
      <c r="E1557" s="22"/>
      <c r="F1557" s="22"/>
      <c r="G1557" s="22"/>
      <c r="H1557" s="1"/>
      <c r="I1557" s="21"/>
      <c r="J1557" s="21"/>
      <c r="K1557" s="11"/>
    </row>
    <row r="1558" spans="1:12" x14ac:dyDescent="0.2">
      <c r="B1558" s="5" t="s">
        <v>24</v>
      </c>
      <c r="C1558" s="5"/>
      <c r="D1558" s="5"/>
      <c r="E1558" s="5"/>
      <c r="F1558" s="7" t="s">
        <v>25</v>
      </c>
      <c r="G1558" s="5"/>
      <c r="H1558" s="5"/>
      <c r="K1558" s="16">
        <f>SUM(K1538,K1540,K1542,K1544,K1546,K1548,K1550,K1552,K1554)</f>
        <v>0</v>
      </c>
    </row>
    <row r="1559" spans="1:12" x14ac:dyDescent="0.2">
      <c r="B1559" s="5"/>
      <c r="C1559" s="5"/>
      <c r="D1559" s="5"/>
      <c r="E1559" s="5"/>
      <c r="F1559" s="7" t="s">
        <v>26</v>
      </c>
      <c r="G1559" s="5"/>
      <c r="H1559" s="5"/>
      <c r="K1559" s="16">
        <v>0</v>
      </c>
    </row>
    <row r="1560" spans="1:12" x14ac:dyDescent="0.2">
      <c r="B1560" s="5"/>
      <c r="C1560" s="5"/>
      <c r="D1560" s="5"/>
      <c r="E1560" s="5"/>
      <c r="F1560" s="7" t="s">
        <v>27</v>
      </c>
      <c r="G1560" s="5"/>
      <c r="H1560" s="5"/>
      <c r="K1560" s="16">
        <f>K1558+K1559</f>
        <v>0</v>
      </c>
    </row>
    <row r="1561" spans="1:12" x14ac:dyDescent="0.2">
      <c r="B1561" s="28" t="s">
        <v>28</v>
      </c>
      <c r="C1561" s="28"/>
      <c r="D1561" s="28"/>
      <c r="E1561" s="5"/>
      <c r="F1561" s="7" t="s">
        <v>29</v>
      </c>
      <c r="G1561" s="5"/>
      <c r="H1561" s="13">
        <v>0.16</v>
      </c>
      <c r="K1561" s="17">
        <f>K1560*0.16</f>
        <v>0</v>
      </c>
    </row>
    <row r="1562" spans="1:12" x14ac:dyDescent="0.2">
      <c r="B1562" s="5"/>
      <c r="C1562" s="5"/>
      <c r="D1562" s="5"/>
      <c r="E1562" s="5"/>
      <c r="F1562" s="7" t="s">
        <v>30</v>
      </c>
      <c r="G1562" s="5"/>
      <c r="H1562" s="5"/>
      <c r="K1562" s="17">
        <f>K1560*1.16</f>
        <v>0</v>
      </c>
    </row>
    <row r="1566" spans="1:12" ht="13.5" customHeight="1" x14ac:dyDescent="0.2">
      <c r="A1566" s="35" t="s">
        <v>34</v>
      </c>
      <c r="B1566" s="35"/>
      <c r="C1566" s="35"/>
      <c r="D1566" s="35"/>
      <c r="E1566" s="35"/>
      <c r="F1566" s="35"/>
      <c r="G1566" s="35"/>
      <c r="H1566" s="35"/>
      <c r="I1566" s="35"/>
      <c r="J1566" s="35"/>
      <c r="K1566" s="35"/>
      <c r="L1566" s="35"/>
    </row>
    <row r="1567" spans="1:12" x14ac:dyDescent="0.2">
      <c r="A1567" s="35"/>
      <c r="B1567" s="35"/>
      <c r="C1567" s="35"/>
      <c r="D1567" s="35"/>
      <c r="E1567" s="35"/>
      <c r="F1567" s="35"/>
      <c r="G1567" s="35"/>
      <c r="H1567" s="35"/>
      <c r="I1567" s="35"/>
      <c r="J1567" s="35"/>
      <c r="K1567" s="35"/>
      <c r="L1567" s="35"/>
    </row>
    <row r="1568" spans="1:12" ht="15" customHeight="1" x14ac:dyDescent="0.2">
      <c r="A1568" s="36" t="s">
        <v>31</v>
      </c>
      <c r="B1568" s="36"/>
      <c r="C1568" s="36"/>
      <c r="D1568" s="36"/>
      <c r="E1568" s="36"/>
      <c r="F1568" s="36"/>
      <c r="G1568" s="36"/>
      <c r="H1568" s="36"/>
      <c r="I1568" s="36"/>
      <c r="J1568" s="36"/>
      <c r="K1568" s="36"/>
      <c r="L1568" s="36"/>
    </row>
    <row r="1569" spans="2:12" ht="15" customHeight="1" x14ac:dyDescent="0.2"/>
    <row r="1570" spans="2:12" x14ac:dyDescent="0.2">
      <c r="C1570" s="2" t="s">
        <v>32</v>
      </c>
      <c r="D1570" s="2"/>
      <c r="E1570" s="2"/>
      <c r="F1570" s="2"/>
      <c r="G1570" s="2"/>
      <c r="H1570" s="2"/>
      <c r="I1570" s="2"/>
      <c r="J1570" s="2"/>
      <c r="K1570" s="2"/>
      <c r="L1570" s="2"/>
    </row>
    <row r="1571" spans="2:12" x14ac:dyDescent="0.2">
      <c r="D1571" s="2"/>
      <c r="E1571" s="2"/>
      <c r="F1571" s="2"/>
      <c r="G1571" s="2"/>
      <c r="H1571" s="2"/>
      <c r="J1571" s="2"/>
      <c r="K1571" s="2"/>
    </row>
    <row r="1572" spans="2:12" x14ac:dyDescent="0.2">
      <c r="C1572" s="2"/>
      <c r="I1572" s="2"/>
    </row>
    <row r="1574" spans="2:12" x14ac:dyDescent="0.2">
      <c r="K1574" s="39"/>
    </row>
    <row r="1575" spans="2:12" x14ac:dyDescent="0.2">
      <c r="K1575" s="39"/>
    </row>
    <row r="1578" spans="2:12" x14ac:dyDescent="0.2">
      <c r="C1578" s="20" t="s">
        <v>0</v>
      </c>
      <c r="D1578" s="20"/>
      <c r="E1578" s="5"/>
      <c r="F1578" s="6"/>
      <c r="H1578" s="5" t="s">
        <v>1</v>
      </c>
      <c r="I1578" s="4"/>
    </row>
    <row r="1579" spans="2:12" ht="20.25" customHeight="1" x14ac:dyDescent="0.2"/>
    <row r="1580" spans="2:12" ht="14.25" customHeight="1" x14ac:dyDescent="0.2">
      <c r="B1580" s="5" t="s">
        <v>2</v>
      </c>
      <c r="C1580" s="34" t="s">
        <v>3</v>
      </c>
      <c r="D1580" s="34"/>
      <c r="E1580" s="5"/>
      <c r="F1580" s="5" t="s">
        <v>4</v>
      </c>
      <c r="G1580" s="5"/>
      <c r="H1580" s="8" t="s">
        <v>5</v>
      </c>
      <c r="J1580" s="7" t="s">
        <v>6</v>
      </c>
      <c r="K1580" s="15"/>
    </row>
    <row r="1581" spans="2:12" x14ac:dyDescent="0.2">
      <c r="B1581" s="5" t="s">
        <v>7</v>
      </c>
      <c r="C1581" s="23" t="s">
        <v>8</v>
      </c>
      <c r="D1581" s="23"/>
      <c r="E1581" s="7" t="s">
        <v>9</v>
      </c>
      <c r="F1581" s="5"/>
      <c r="G1581" s="5"/>
      <c r="H1581" s="5"/>
      <c r="I1581" s="5"/>
      <c r="J1581" s="7" t="s">
        <v>10</v>
      </c>
      <c r="K1581" s="15"/>
      <c r="L1581" s="5"/>
    </row>
    <row r="1582" spans="2:12" x14ac:dyDescent="0.2">
      <c r="B1582" s="28" t="s">
        <v>33</v>
      </c>
      <c r="C1582" s="28"/>
      <c r="D1582" s="6" t="s">
        <v>11</v>
      </c>
      <c r="E1582" s="7" t="s">
        <v>12</v>
      </c>
      <c r="F1582" s="8" t="s">
        <v>13</v>
      </c>
      <c r="G1582" s="7" t="s">
        <v>14</v>
      </c>
      <c r="H1582" s="9" t="s">
        <v>15</v>
      </c>
      <c r="I1582" s="5"/>
      <c r="J1582" s="5"/>
      <c r="K1582" s="5"/>
      <c r="L1582" s="5"/>
    </row>
    <row r="1583" spans="2:12" ht="14.25" customHeight="1" x14ac:dyDescent="0.2">
      <c r="B1583" s="5" t="s">
        <v>16</v>
      </c>
      <c r="C1583" s="27" t="s">
        <v>17</v>
      </c>
      <c r="D1583" s="27"/>
      <c r="E1583" s="27"/>
      <c r="F1583" s="27"/>
      <c r="G1583" s="27"/>
      <c r="H1583" s="5"/>
      <c r="I1583" s="5"/>
      <c r="J1583" s="5"/>
      <c r="K1583" s="5"/>
      <c r="L1583" s="5"/>
    </row>
    <row r="1584" spans="2:12" x14ac:dyDescent="0.2">
      <c r="B1584" s="5"/>
      <c r="C1584" s="27" t="s">
        <v>18</v>
      </c>
      <c r="D1584" s="27"/>
      <c r="E1584" s="27"/>
      <c r="F1584" s="27"/>
      <c r="G1584" s="27"/>
      <c r="H1584" s="5"/>
      <c r="I1584" s="5"/>
      <c r="J1584" s="5"/>
      <c r="K1584" s="5"/>
      <c r="L1584" s="5"/>
    </row>
    <row r="1585" spans="2:12" ht="9" customHeight="1" x14ac:dyDescent="0.2">
      <c r="B1585" s="5" t="s">
        <v>19</v>
      </c>
      <c r="C1585" s="5"/>
      <c r="D1585" s="5"/>
      <c r="E1585" s="5"/>
      <c r="F1585" s="5"/>
      <c r="G1585" s="5"/>
      <c r="H1585" s="5"/>
      <c r="I1585" s="5"/>
      <c r="J1585" s="5"/>
      <c r="K1585" s="5"/>
      <c r="L1585" s="5"/>
    </row>
    <row r="1586" spans="2:12" x14ac:dyDescent="0.2">
      <c r="B1586" s="29" t="s">
        <v>20</v>
      </c>
      <c r="C1586" s="29"/>
      <c r="D1586" s="29"/>
      <c r="E1586" s="29"/>
      <c r="F1586" s="29"/>
      <c r="G1586" s="29"/>
      <c r="H1586" s="10" t="s">
        <v>21</v>
      </c>
      <c r="I1586" s="30" t="s">
        <v>22</v>
      </c>
      <c r="J1586" s="31"/>
      <c r="K1586" s="10" t="s">
        <v>23</v>
      </c>
      <c r="L1586" s="12"/>
    </row>
    <row r="1587" spans="2:12" ht="14.25" customHeight="1" x14ac:dyDescent="0.2">
      <c r="B1587" s="32"/>
      <c r="C1587" s="32"/>
      <c r="D1587" s="32"/>
      <c r="E1587" s="32"/>
      <c r="F1587" s="32"/>
      <c r="G1587" s="32"/>
      <c r="H1587" s="1"/>
      <c r="I1587" s="33"/>
      <c r="J1587" s="33"/>
      <c r="K1587" s="18"/>
      <c r="L1587" s="11"/>
    </row>
    <row r="1588" spans="2:12" x14ac:dyDescent="0.2">
      <c r="B1588" s="22"/>
      <c r="C1588" s="22"/>
      <c r="D1588" s="22"/>
      <c r="E1588" s="22"/>
      <c r="F1588" s="22"/>
      <c r="G1588" s="22"/>
      <c r="H1588" s="22"/>
      <c r="I1588" s="22"/>
      <c r="J1588" s="22"/>
      <c r="K1588" s="22"/>
      <c r="L1588" s="11"/>
    </row>
    <row r="1589" spans="2:12" x14ac:dyDescent="0.2">
      <c r="B1589" s="22"/>
      <c r="C1589" s="22"/>
      <c r="D1589" s="22"/>
      <c r="E1589" s="22"/>
      <c r="F1589" s="22"/>
      <c r="G1589" s="22"/>
      <c r="H1589" s="1"/>
      <c r="I1589" s="25"/>
      <c r="J1589" s="26"/>
      <c r="K1589" s="14"/>
      <c r="L1589" s="11"/>
    </row>
    <row r="1590" spans="2:12" x14ac:dyDescent="0.2">
      <c r="B1590" s="22"/>
      <c r="C1590" s="22"/>
      <c r="D1590" s="22"/>
      <c r="E1590" s="22"/>
      <c r="F1590" s="22"/>
      <c r="G1590" s="22"/>
      <c r="H1590" s="22"/>
      <c r="I1590" s="22"/>
      <c r="J1590" s="22"/>
      <c r="K1590" s="22"/>
      <c r="L1590" s="11"/>
    </row>
    <row r="1591" spans="2:12" x14ac:dyDescent="0.2">
      <c r="B1591" s="22"/>
      <c r="C1591" s="22"/>
      <c r="D1591" s="22"/>
      <c r="E1591" s="22"/>
      <c r="F1591" s="22"/>
      <c r="G1591" s="22"/>
      <c r="H1591" s="1"/>
      <c r="I1591" s="25"/>
      <c r="J1591" s="26"/>
      <c r="K1591" s="14"/>
      <c r="L1591" s="11"/>
    </row>
    <row r="1592" spans="2:12" x14ac:dyDescent="0.2">
      <c r="B1592" s="22"/>
      <c r="C1592" s="22"/>
      <c r="D1592" s="22"/>
      <c r="E1592" s="22"/>
      <c r="F1592" s="22"/>
      <c r="G1592" s="22"/>
      <c r="H1592" s="22"/>
      <c r="I1592" s="22"/>
      <c r="J1592" s="22"/>
      <c r="K1592" s="22"/>
      <c r="L1592" s="11"/>
    </row>
    <row r="1593" spans="2:12" ht="14.25" customHeight="1" x14ac:dyDescent="0.2">
      <c r="B1593" s="24"/>
      <c r="C1593" s="24"/>
      <c r="D1593" s="24"/>
      <c r="E1593" s="24"/>
      <c r="F1593" s="24"/>
      <c r="G1593" s="24"/>
      <c r="H1593" s="1"/>
      <c r="I1593" s="25"/>
      <c r="J1593" s="26"/>
      <c r="K1593" s="14"/>
      <c r="L1593" s="11"/>
    </row>
    <row r="1594" spans="2:12" x14ac:dyDescent="0.2">
      <c r="B1594" s="22"/>
      <c r="C1594" s="22"/>
      <c r="D1594" s="22"/>
      <c r="E1594" s="22"/>
      <c r="F1594" s="22"/>
      <c r="G1594" s="22"/>
      <c r="H1594" s="22"/>
      <c r="I1594" s="22"/>
      <c r="J1594" s="22"/>
      <c r="K1594" s="22"/>
      <c r="L1594" s="11"/>
    </row>
    <row r="1595" spans="2:12" x14ac:dyDescent="0.2">
      <c r="B1595" s="22"/>
      <c r="C1595" s="22"/>
      <c r="D1595" s="22"/>
      <c r="E1595" s="22"/>
      <c r="F1595" s="22"/>
      <c r="G1595" s="22"/>
      <c r="H1595" s="1"/>
      <c r="I1595" s="25"/>
      <c r="J1595" s="26"/>
      <c r="K1595" s="14"/>
      <c r="L1595" s="11"/>
    </row>
    <row r="1596" spans="2:12" x14ac:dyDescent="0.2">
      <c r="B1596" s="22"/>
      <c r="C1596" s="22"/>
      <c r="D1596" s="22"/>
      <c r="E1596" s="22"/>
      <c r="F1596" s="22"/>
      <c r="G1596" s="22"/>
      <c r="H1596" s="22"/>
      <c r="I1596" s="22"/>
      <c r="J1596" s="22"/>
      <c r="K1596" s="22"/>
      <c r="L1596" s="11"/>
    </row>
    <row r="1597" spans="2:12" x14ac:dyDescent="0.2">
      <c r="B1597" s="22"/>
      <c r="C1597" s="22"/>
      <c r="D1597" s="22"/>
      <c r="E1597" s="22"/>
      <c r="F1597" s="22"/>
      <c r="G1597" s="22"/>
      <c r="H1597" s="1"/>
      <c r="I1597" s="25"/>
      <c r="J1597" s="26"/>
      <c r="K1597" s="14"/>
      <c r="L1597" s="11"/>
    </row>
    <row r="1598" spans="2:12" x14ac:dyDescent="0.2">
      <c r="B1598" s="22"/>
      <c r="C1598" s="22"/>
      <c r="D1598" s="22"/>
      <c r="E1598" s="22"/>
      <c r="F1598" s="22"/>
      <c r="G1598" s="22"/>
      <c r="H1598" s="22"/>
      <c r="I1598" s="22"/>
      <c r="J1598" s="22"/>
      <c r="K1598" s="22"/>
      <c r="L1598" s="11"/>
    </row>
    <row r="1599" spans="2:12" x14ac:dyDescent="0.2">
      <c r="B1599" s="22"/>
      <c r="C1599" s="22"/>
      <c r="D1599" s="22"/>
      <c r="E1599" s="22"/>
      <c r="F1599" s="22"/>
      <c r="G1599" s="22"/>
      <c r="H1599" s="1"/>
      <c r="I1599" s="25"/>
      <c r="J1599" s="26"/>
      <c r="K1599" s="14"/>
      <c r="L1599" s="11"/>
    </row>
    <row r="1600" spans="2:12" x14ac:dyDescent="0.2">
      <c r="B1600" s="22"/>
      <c r="C1600" s="22"/>
      <c r="D1600" s="22"/>
      <c r="E1600" s="22"/>
      <c r="F1600" s="22"/>
      <c r="G1600" s="22"/>
      <c r="H1600" s="22"/>
      <c r="I1600" s="22"/>
      <c r="J1600" s="22"/>
      <c r="K1600" s="22"/>
      <c r="L1600" s="11"/>
    </row>
    <row r="1601" spans="1:12" ht="14.25" customHeight="1" x14ac:dyDescent="0.2">
      <c r="B1601" s="24"/>
      <c r="C1601" s="24"/>
      <c r="D1601" s="24"/>
      <c r="E1601" s="24"/>
      <c r="F1601" s="24"/>
      <c r="G1601" s="24"/>
      <c r="H1601" s="1"/>
      <c r="I1601" s="25"/>
      <c r="J1601" s="26"/>
      <c r="K1601" s="14"/>
      <c r="L1601" s="11"/>
    </row>
    <row r="1602" spans="1:12" x14ac:dyDescent="0.2">
      <c r="B1602" s="22"/>
      <c r="C1602" s="22"/>
      <c r="D1602" s="22"/>
      <c r="E1602" s="22"/>
      <c r="F1602" s="22"/>
      <c r="G1602" s="22"/>
      <c r="H1602" s="22"/>
      <c r="I1602" s="22"/>
      <c r="J1602" s="22"/>
      <c r="K1602" s="22"/>
    </row>
    <row r="1603" spans="1:12" ht="14.25" customHeight="1" x14ac:dyDescent="0.2">
      <c r="B1603" s="24"/>
      <c r="C1603" s="24"/>
      <c r="D1603" s="24"/>
      <c r="E1603" s="24"/>
      <c r="F1603" s="24"/>
      <c r="G1603" s="24"/>
      <c r="H1603" s="1"/>
      <c r="I1603" s="37"/>
      <c r="J1603" s="26"/>
      <c r="K1603" s="14"/>
    </row>
    <row r="1604" spans="1:12" x14ac:dyDescent="0.2">
      <c r="B1604" s="22"/>
      <c r="C1604" s="22"/>
      <c r="D1604" s="22"/>
      <c r="E1604" s="22"/>
      <c r="F1604" s="22"/>
      <c r="G1604" s="22"/>
      <c r="H1604" s="22"/>
      <c r="I1604" s="22"/>
      <c r="J1604" s="22"/>
      <c r="K1604" s="22"/>
    </row>
    <row r="1605" spans="1:12" x14ac:dyDescent="0.2">
      <c r="B1605" s="22"/>
      <c r="C1605" s="22"/>
      <c r="D1605" s="22"/>
      <c r="E1605" s="22"/>
      <c r="F1605" s="22"/>
      <c r="G1605" s="22"/>
      <c r="H1605" s="1"/>
      <c r="I1605" s="21"/>
      <c r="J1605" s="21"/>
      <c r="K1605" s="11"/>
    </row>
    <row r="1606" spans="1:12" x14ac:dyDescent="0.2">
      <c r="B1606" s="22"/>
      <c r="C1606" s="22"/>
      <c r="D1606" s="22"/>
      <c r="E1606" s="22"/>
      <c r="F1606" s="22"/>
      <c r="G1606" s="22"/>
      <c r="H1606" s="1"/>
      <c r="I1606" s="21"/>
      <c r="J1606" s="21"/>
      <c r="K1606" s="11"/>
    </row>
    <row r="1607" spans="1:12" x14ac:dyDescent="0.2">
      <c r="B1607" s="5" t="s">
        <v>24</v>
      </c>
      <c r="C1607" s="5"/>
      <c r="D1607" s="5"/>
      <c r="E1607" s="5"/>
      <c r="F1607" s="7" t="s">
        <v>25</v>
      </c>
      <c r="G1607" s="5"/>
      <c r="H1607" s="5"/>
      <c r="K1607" s="16">
        <f>SUM(K1587,K1589,K1591,K1593,K1595,K1597,K1599,K1601,K1603)</f>
        <v>0</v>
      </c>
    </row>
    <row r="1608" spans="1:12" x14ac:dyDescent="0.2">
      <c r="B1608" s="5"/>
      <c r="C1608" s="5"/>
      <c r="D1608" s="5"/>
      <c r="E1608" s="5"/>
      <c r="F1608" s="7" t="s">
        <v>26</v>
      </c>
      <c r="G1608" s="5"/>
      <c r="H1608" s="5"/>
      <c r="K1608" s="16">
        <v>0</v>
      </c>
    </row>
    <row r="1609" spans="1:12" x14ac:dyDescent="0.2">
      <c r="B1609" s="5"/>
      <c r="C1609" s="5"/>
      <c r="D1609" s="5"/>
      <c r="E1609" s="5"/>
      <c r="F1609" s="7" t="s">
        <v>27</v>
      </c>
      <c r="G1609" s="5"/>
      <c r="H1609" s="5"/>
      <c r="K1609" s="16">
        <f>K1607+K1608</f>
        <v>0</v>
      </c>
    </row>
    <row r="1610" spans="1:12" x14ac:dyDescent="0.2">
      <c r="B1610" s="28" t="s">
        <v>28</v>
      </c>
      <c r="C1610" s="28"/>
      <c r="D1610" s="28"/>
      <c r="E1610" s="5"/>
      <c r="F1610" s="7" t="s">
        <v>29</v>
      </c>
      <c r="G1610" s="5"/>
      <c r="H1610" s="13">
        <v>0.16</v>
      </c>
      <c r="K1610" s="17">
        <f>K1609*0.16</f>
        <v>0</v>
      </c>
    </row>
    <row r="1611" spans="1:12" x14ac:dyDescent="0.2">
      <c r="B1611" s="5"/>
      <c r="C1611" s="5"/>
      <c r="D1611" s="5"/>
      <c r="E1611" s="5"/>
      <c r="F1611" s="7" t="s">
        <v>30</v>
      </c>
      <c r="G1611" s="5"/>
      <c r="H1611" s="5"/>
      <c r="K1611" s="17">
        <f>K1609*1.16</f>
        <v>0</v>
      </c>
    </row>
    <row r="1615" spans="1:12" ht="13.5" customHeight="1" x14ac:dyDescent="0.2">
      <c r="A1615" s="35" t="s">
        <v>34</v>
      </c>
      <c r="B1615" s="35"/>
      <c r="C1615" s="35"/>
      <c r="D1615" s="35"/>
      <c r="E1615" s="35"/>
      <c r="F1615" s="35"/>
      <c r="G1615" s="35"/>
      <c r="H1615" s="35"/>
      <c r="I1615" s="35"/>
      <c r="J1615" s="35"/>
      <c r="K1615" s="35"/>
      <c r="L1615" s="35"/>
    </row>
    <row r="1616" spans="1:12" x14ac:dyDescent="0.2">
      <c r="A1616" s="35"/>
      <c r="B1616" s="35"/>
      <c r="C1616" s="35"/>
      <c r="D1616" s="35"/>
      <c r="E1616" s="35"/>
      <c r="F1616" s="35"/>
      <c r="G1616" s="35"/>
      <c r="H1616" s="35"/>
      <c r="I1616" s="35"/>
      <c r="J1616" s="35"/>
      <c r="K1616" s="35"/>
      <c r="L1616" s="35"/>
    </row>
    <row r="1617" spans="1:12" ht="15" customHeight="1" x14ac:dyDescent="0.2">
      <c r="A1617" s="36" t="s">
        <v>31</v>
      </c>
      <c r="B1617" s="36"/>
      <c r="C1617" s="36"/>
      <c r="D1617" s="36"/>
      <c r="E1617" s="36"/>
      <c r="F1617" s="36"/>
      <c r="G1617" s="36"/>
      <c r="H1617" s="36"/>
      <c r="I1617" s="36"/>
      <c r="J1617" s="36"/>
      <c r="K1617" s="36"/>
      <c r="L1617" s="36"/>
    </row>
    <row r="1618" spans="1:12" ht="15" customHeight="1" x14ac:dyDescent="0.2"/>
    <row r="1619" spans="1:12" x14ac:dyDescent="0.2">
      <c r="C1619" s="2" t="s">
        <v>32</v>
      </c>
      <c r="D1619" s="2"/>
      <c r="E1619" s="2"/>
      <c r="F1619" s="2"/>
      <c r="G1619" s="2"/>
      <c r="H1619" s="2"/>
      <c r="I1619" s="2"/>
      <c r="J1619" s="2"/>
      <c r="K1619" s="2"/>
      <c r="L1619" s="2"/>
    </row>
    <row r="1620" spans="1:12" x14ac:dyDescent="0.2">
      <c r="D1620" s="2"/>
      <c r="E1620" s="2"/>
      <c r="F1620" s="2"/>
      <c r="G1620" s="2"/>
      <c r="H1620" s="2"/>
      <c r="J1620" s="2"/>
      <c r="K1620" s="2"/>
    </row>
    <row r="1621" spans="1:12" x14ac:dyDescent="0.2">
      <c r="C1621" s="2"/>
      <c r="I1621" s="2"/>
    </row>
    <row r="1623" spans="1:12" x14ac:dyDescent="0.2">
      <c r="K1623" s="39"/>
    </row>
    <row r="1624" spans="1:12" x14ac:dyDescent="0.2">
      <c r="K1624" s="39"/>
    </row>
    <row r="1627" spans="1:12" x14ac:dyDescent="0.2">
      <c r="C1627" s="20" t="s">
        <v>0</v>
      </c>
      <c r="D1627" s="20"/>
      <c r="E1627" s="5"/>
      <c r="F1627" s="6"/>
      <c r="H1627" s="5" t="s">
        <v>1</v>
      </c>
      <c r="I1627" s="4"/>
    </row>
    <row r="1628" spans="1:12" ht="20.25" customHeight="1" x14ac:dyDescent="0.2"/>
    <row r="1629" spans="1:12" ht="14.25" customHeight="1" x14ac:dyDescent="0.2">
      <c r="B1629" s="5" t="s">
        <v>2</v>
      </c>
      <c r="C1629" s="34" t="s">
        <v>3</v>
      </c>
      <c r="D1629" s="34"/>
      <c r="E1629" s="5"/>
      <c r="F1629" s="5" t="s">
        <v>4</v>
      </c>
      <c r="G1629" s="5"/>
      <c r="H1629" s="8" t="s">
        <v>5</v>
      </c>
      <c r="J1629" s="7" t="s">
        <v>6</v>
      </c>
      <c r="K1629" s="15"/>
    </row>
    <row r="1630" spans="1:12" x14ac:dyDescent="0.2">
      <c r="B1630" s="5" t="s">
        <v>7</v>
      </c>
      <c r="C1630" s="23" t="s">
        <v>8</v>
      </c>
      <c r="D1630" s="23"/>
      <c r="E1630" s="7" t="s">
        <v>9</v>
      </c>
      <c r="F1630" s="5"/>
      <c r="G1630" s="5"/>
      <c r="H1630" s="5"/>
      <c r="I1630" s="5"/>
      <c r="J1630" s="7" t="s">
        <v>10</v>
      </c>
      <c r="K1630" s="15"/>
      <c r="L1630" s="5"/>
    </row>
    <row r="1631" spans="1:12" x14ac:dyDescent="0.2">
      <c r="B1631" s="28" t="s">
        <v>33</v>
      </c>
      <c r="C1631" s="28"/>
      <c r="D1631" s="6" t="s">
        <v>11</v>
      </c>
      <c r="E1631" s="7" t="s">
        <v>12</v>
      </c>
      <c r="F1631" s="8" t="s">
        <v>13</v>
      </c>
      <c r="G1631" s="7" t="s">
        <v>14</v>
      </c>
      <c r="H1631" s="9" t="s">
        <v>15</v>
      </c>
      <c r="I1631" s="5"/>
      <c r="J1631" s="5"/>
      <c r="K1631" s="5"/>
      <c r="L1631" s="5"/>
    </row>
    <row r="1632" spans="1:12" ht="14.25" customHeight="1" x14ac:dyDescent="0.2">
      <c r="B1632" s="5" t="s">
        <v>16</v>
      </c>
      <c r="C1632" s="27" t="s">
        <v>17</v>
      </c>
      <c r="D1632" s="27"/>
      <c r="E1632" s="27"/>
      <c r="F1632" s="27"/>
      <c r="G1632" s="27"/>
      <c r="H1632" s="5"/>
      <c r="I1632" s="5"/>
      <c r="J1632" s="5"/>
      <c r="K1632" s="5"/>
      <c r="L1632" s="5"/>
    </row>
    <row r="1633" spans="2:12" x14ac:dyDescent="0.2">
      <c r="B1633" s="5"/>
      <c r="C1633" s="27" t="s">
        <v>18</v>
      </c>
      <c r="D1633" s="27"/>
      <c r="E1633" s="27"/>
      <c r="F1633" s="27"/>
      <c r="G1633" s="27"/>
      <c r="H1633" s="5"/>
      <c r="I1633" s="5"/>
      <c r="J1633" s="5"/>
      <c r="K1633" s="5"/>
      <c r="L1633" s="5"/>
    </row>
    <row r="1634" spans="2:12" ht="9" customHeight="1" x14ac:dyDescent="0.2">
      <c r="B1634" s="5" t="s">
        <v>19</v>
      </c>
      <c r="C1634" s="5"/>
      <c r="D1634" s="5"/>
      <c r="E1634" s="5"/>
      <c r="F1634" s="5"/>
      <c r="G1634" s="5"/>
      <c r="H1634" s="5"/>
      <c r="I1634" s="5"/>
      <c r="J1634" s="5"/>
      <c r="K1634" s="5"/>
      <c r="L1634" s="5"/>
    </row>
    <row r="1635" spans="2:12" x14ac:dyDescent="0.2">
      <c r="B1635" s="29" t="s">
        <v>20</v>
      </c>
      <c r="C1635" s="29"/>
      <c r="D1635" s="29"/>
      <c r="E1635" s="29"/>
      <c r="F1635" s="29"/>
      <c r="G1635" s="29"/>
      <c r="H1635" s="10" t="s">
        <v>21</v>
      </c>
      <c r="I1635" s="30" t="s">
        <v>22</v>
      </c>
      <c r="J1635" s="31"/>
      <c r="K1635" s="10" t="s">
        <v>23</v>
      </c>
      <c r="L1635" s="12"/>
    </row>
    <row r="1636" spans="2:12" ht="14.25" customHeight="1" x14ac:dyDescent="0.2">
      <c r="B1636" s="32"/>
      <c r="C1636" s="32"/>
      <c r="D1636" s="32"/>
      <c r="E1636" s="32"/>
      <c r="F1636" s="32"/>
      <c r="G1636" s="32"/>
      <c r="H1636" s="1"/>
      <c r="I1636" s="33"/>
      <c r="J1636" s="33"/>
      <c r="K1636" s="18"/>
      <c r="L1636" s="11"/>
    </row>
    <row r="1637" spans="2:12" x14ac:dyDescent="0.2">
      <c r="B1637" s="22"/>
      <c r="C1637" s="22"/>
      <c r="D1637" s="22"/>
      <c r="E1637" s="22"/>
      <c r="F1637" s="22"/>
      <c r="G1637" s="22"/>
      <c r="H1637" s="22"/>
      <c r="I1637" s="22"/>
      <c r="J1637" s="22"/>
      <c r="K1637" s="22"/>
      <c r="L1637" s="11"/>
    </row>
    <row r="1638" spans="2:12" x14ac:dyDescent="0.2">
      <c r="B1638" s="22"/>
      <c r="C1638" s="22"/>
      <c r="D1638" s="22"/>
      <c r="E1638" s="22"/>
      <c r="F1638" s="22"/>
      <c r="G1638" s="22"/>
      <c r="H1638" s="1"/>
      <c r="I1638" s="25"/>
      <c r="J1638" s="26"/>
      <c r="K1638" s="14"/>
      <c r="L1638" s="11"/>
    </row>
    <row r="1639" spans="2:12" x14ac:dyDescent="0.2">
      <c r="B1639" s="22"/>
      <c r="C1639" s="22"/>
      <c r="D1639" s="22"/>
      <c r="E1639" s="22"/>
      <c r="F1639" s="22"/>
      <c r="G1639" s="22"/>
      <c r="H1639" s="22"/>
      <c r="I1639" s="22"/>
      <c r="J1639" s="22"/>
      <c r="K1639" s="22"/>
      <c r="L1639" s="11"/>
    </row>
    <row r="1640" spans="2:12" x14ac:dyDescent="0.2">
      <c r="B1640" s="22"/>
      <c r="C1640" s="22"/>
      <c r="D1640" s="22"/>
      <c r="E1640" s="22"/>
      <c r="F1640" s="22"/>
      <c r="G1640" s="22"/>
      <c r="H1640" s="1"/>
      <c r="I1640" s="25"/>
      <c r="J1640" s="26"/>
      <c r="K1640" s="14"/>
      <c r="L1640" s="11"/>
    </row>
    <row r="1641" spans="2:12" x14ac:dyDescent="0.2">
      <c r="B1641" s="22"/>
      <c r="C1641" s="22"/>
      <c r="D1641" s="22"/>
      <c r="E1641" s="22"/>
      <c r="F1641" s="22"/>
      <c r="G1641" s="22"/>
      <c r="H1641" s="22"/>
      <c r="I1641" s="22"/>
      <c r="J1641" s="22"/>
      <c r="K1641" s="22"/>
      <c r="L1641" s="11"/>
    </row>
    <row r="1642" spans="2:12" ht="14.25" customHeight="1" x14ac:dyDescent="0.2">
      <c r="B1642" s="24"/>
      <c r="C1642" s="24"/>
      <c r="D1642" s="24"/>
      <c r="E1642" s="24"/>
      <c r="F1642" s="24"/>
      <c r="G1642" s="24"/>
      <c r="H1642" s="1"/>
      <c r="I1642" s="25"/>
      <c r="J1642" s="26"/>
      <c r="K1642" s="14"/>
      <c r="L1642" s="11"/>
    </row>
    <row r="1643" spans="2:12" x14ac:dyDescent="0.2">
      <c r="B1643" s="22"/>
      <c r="C1643" s="22"/>
      <c r="D1643" s="22"/>
      <c r="E1643" s="22"/>
      <c r="F1643" s="22"/>
      <c r="G1643" s="22"/>
      <c r="H1643" s="22"/>
      <c r="I1643" s="22"/>
      <c r="J1643" s="22"/>
      <c r="K1643" s="22"/>
      <c r="L1643" s="11"/>
    </row>
    <row r="1644" spans="2:12" x14ac:dyDescent="0.2">
      <c r="B1644" s="22"/>
      <c r="C1644" s="22"/>
      <c r="D1644" s="22"/>
      <c r="E1644" s="22"/>
      <c r="F1644" s="22"/>
      <c r="G1644" s="22"/>
      <c r="H1644" s="1"/>
      <c r="I1644" s="25"/>
      <c r="J1644" s="26"/>
      <c r="K1644" s="14"/>
      <c r="L1644" s="11"/>
    </row>
    <row r="1645" spans="2:12" x14ac:dyDescent="0.2">
      <c r="B1645" s="22"/>
      <c r="C1645" s="22"/>
      <c r="D1645" s="22"/>
      <c r="E1645" s="22"/>
      <c r="F1645" s="22"/>
      <c r="G1645" s="22"/>
      <c r="H1645" s="22"/>
      <c r="I1645" s="22"/>
      <c r="J1645" s="22"/>
      <c r="K1645" s="22"/>
      <c r="L1645" s="11"/>
    </row>
    <row r="1646" spans="2:12" x14ac:dyDescent="0.2">
      <c r="B1646" s="22"/>
      <c r="C1646" s="22"/>
      <c r="D1646" s="22"/>
      <c r="E1646" s="22"/>
      <c r="F1646" s="22"/>
      <c r="G1646" s="22"/>
      <c r="H1646" s="1"/>
      <c r="I1646" s="25"/>
      <c r="J1646" s="26"/>
      <c r="K1646" s="14"/>
      <c r="L1646" s="11"/>
    </row>
    <row r="1647" spans="2:12" x14ac:dyDescent="0.2">
      <c r="B1647" s="22"/>
      <c r="C1647" s="22"/>
      <c r="D1647" s="22"/>
      <c r="E1647" s="22"/>
      <c r="F1647" s="22"/>
      <c r="G1647" s="22"/>
      <c r="H1647" s="22"/>
      <c r="I1647" s="22"/>
      <c r="J1647" s="22"/>
      <c r="K1647" s="22"/>
      <c r="L1647" s="11"/>
    </row>
    <row r="1648" spans="2:12" x14ac:dyDescent="0.2">
      <c r="B1648" s="22"/>
      <c r="C1648" s="22"/>
      <c r="D1648" s="22"/>
      <c r="E1648" s="22"/>
      <c r="F1648" s="22"/>
      <c r="G1648" s="22"/>
      <c r="H1648" s="1"/>
      <c r="I1648" s="25"/>
      <c r="J1648" s="26"/>
      <c r="K1648" s="14"/>
      <c r="L1648" s="11"/>
    </row>
    <row r="1649" spans="1:12" x14ac:dyDescent="0.2">
      <c r="B1649" s="22"/>
      <c r="C1649" s="22"/>
      <c r="D1649" s="22"/>
      <c r="E1649" s="22"/>
      <c r="F1649" s="22"/>
      <c r="G1649" s="22"/>
      <c r="H1649" s="22"/>
      <c r="I1649" s="22"/>
      <c r="J1649" s="22"/>
      <c r="K1649" s="22"/>
      <c r="L1649" s="11"/>
    </row>
    <row r="1650" spans="1:12" ht="14.25" customHeight="1" x14ac:dyDescent="0.2">
      <c r="B1650" s="24"/>
      <c r="C1650" s="24"/>
      <c r="D1650" s="24"/>
      <c r="E1650" s="24"/>
      <c r="F1650" s="24"/>
      <c r="G1650" s="24"/>
      <c r="H1650" s="1"/>
      <c r="I1650" s="25"/>
      <c r="J1650" s="26"/>
      <c r="K1650" s="14"/>
      <c r="L1650" s="11"/>
    </row>
    <row r="1651" spans="1:12" x14ac:dyDescent="0.2">
      <c r="B1651" s="22"/>
      <c r="C1651" s="22"/>
      <c r="D1651" s="22"/>
      <c r="E1651" s="22"/>
      <c r="F1651" s="22"/>
      <c r="G1651" s="22"/>
      <c r="H1651" s="22"/>
      <c r="I1651" s="22"/>
      <c r="J1651" s="22"/>
      <c r="K1651" s="22"/>
    </row>
    <row r="1652" spans="1:12" ht="14.25" customHeight="1" x14ac:dyDescent="0.2">
      <c r="B1652" s="24"/>
      <c r="C1652" s="24"/>
      <c r="D1652" s="24"/>
      <c r="E1652" s="24"/>
      <c r="F1652" s="24"/>
      <c r="G1652" s="24"/>
      <c r="H1652" s="1"/>
      <c r="I1652" s="37"/>
      <c r="J1652" s="26"/>
      <c r="K1652" s="14"/>
    </row>
    <row r="1653" spans="1:12" x14ac:dyDescent="0.2">
      <c r="B1653" s="22"/>
      <c r="C1653" s="22"/>
      <c r="D1653" s="22"/>
      <c r="E1653" s="22"/>
      <c r="F1653" s="22"/>
      <c r="G1653" s="22"/>
      <c r="H1653" s="22"/>
      <c r="I1653" s="22"/>
      <c r="J1653" s="22"/>
      <c r="K1653" s="22"/>
    </row>
    <row r="1654" spans="1:12" x14ac:dyDescent="0.2">
      <c r="B1654" s="22"/>
      <c r="C1654" s="22"/>
      <c r="D1654" s="22"/>
      <c r="E1654" s="22"/>
      <c r="F1654" s="22"/>
      <c r="G1654" s="22"/>
      <c r="H1654" s="1"/>
      <c r="I1654" s="21"/>
      <c r="J1654" s="21"/>
      <c r="K1654" s="11"/>
    </row>
    <row r="1655" spans="1:12" x14ac:dyDescent="0.2">
      <c r="B1655" s="22"/>
      <c r="C1655" s="22"/>
      <c r="D1655" s="22"/>
      <c r="E1655" s="22"/>
      <c r="F1655" s="22"/>
      <c r="G1655" s="22"/>
      <c r="H1655" s="1"/>
      <c r="I1655" s="21"/>
      <c r="J1655" s="21"/>
      <c r="K1655" s="11"/>
    </row>
    <row r="1656" spans="1:12" x14ac:dyDescent="0.2">
      <c r="B1656" s="5" t="s">
        <v>24</v>
      </c>
      <c r="C1656" s="5"/>
      <c r="D1656" s="5"/>
      <c r="E1656" s="5"/>
      <c r="F1656" s="7" t="s">
        <v>25</v>
      </c>
      <c r="G1656" s="5"/>
      <c r="H1656" s="5"/>
      <c r="K1656" s="16">
        <f>SUM(K1636,K1638,K1640,K1642,K1644,K1646,K1648,K1650,K1652)</f>
        <v>0</v>
      </c>
    </row>
    <row r="1657" spans="1:12" x14ac:dyDescent="0.2">
      <c r="B1657" s="5"/>
      <c r="C1657" s="5"/>
      <c r="D1657" s="5"/>
      <c r="E1657" s="5"/>
      <c r="F1657" s="7" t="s">
        <v>26</v>
      </c>
      <c r="G1657" s="5"/>
      <c r="H1657" s="5"/>
      <c r="K1657" s="16">
        <v>0</v>
      </c>
    </row>
    <row r="1658" spans="1:12" x14ac:dyDescent="0.2">
      <c r="B1658" s="5"/>
      <c r="C1658" s="5"/>
      <c r="D1658" s="5"/>
      <c r="E1658" s="5"/>
      <c r="F1658" s="7" t="s">
        <v>27</v>
      </c>
      <c r="G1658" s="5"/>
      <c r="H1658" s="5"/>
      <c r="K1658" s="16">
        <f>K1656+K1657</f>
        <v>0</v>
      </c>
    </row>
    <row r="1659" spans="1:12" x14ac:dyDescent="0.2">
      <c r="B1659" s="28" t="s">
        <v>28</v>
      </c>
      <c r="C1659" s="28"/>
      <c r="D1659" s="28"/>
      <c r="E1659" s="5"/>
      <c r="F1659" s="7" t="s">
        <v>29</v>
      </c>
      <c r="G1659" s="5"/>
      <c r="H1659" s="13">
        <v>0.16</v>
      </c>
      <c r="K1659" s="17">
        <f>K1658*0.16</f>
        <v>0</v>
      </c>
    </row>
    <row r="1660" spans="1:12" x14ac:dyDescent="0.2">
      <c r="B1660" s="5"/>
      <c r="C1660" s="5"/>
      <c r="D1660" s="5"/>
      <c r="E1660" s="5"/>
      <c r="F1660" s="7" t="s">
        <v>30</v>
      </c>
      <c r="G1660" s="5"/>
      <c r="H1660" s="5"/>
      <c r="K1660" s="17">
        <f>K1658*1.16</f>
        <v>0</v>
      </c>
    </row>
    <row r="1664" spans="1:12" ht="13.5" customHeight="1" x14ac:dyDescent="0.2">
      <c r="A1664" s="35" t="s">
        <v>34</v>
      </c>
      <c r="B1664" s="35"/>
      <c r="C1664" s="35"/>
      <c r="D1664" s="35"/>
      <c r="E1664" s="35"/>
      <c r="F1664" s="35"/>
      <c r="G1664" s="35"/>
      <c r="H1664" s="35"/>
      <c r="I1664" s="35"/>
      <c r="J1664" s="35"/>
      <c r="K1664" s="35"/>
      <c r="L1664" s="35"/>
    </row>
    <row r="1665" spans="1:15" x14ac:dyDescent="0.2">
      <c r="A1665" s="35"/>
      <c r="B1665" s="35"/>
      <c r="C1665" s="35"/>
      <c r="D1665" s="35"/>
      <c r="E1665" s="35"/>
      <c r="F1665" s="35"/>
      <c r="G1665" s="35"/>
      <c r="H1665" s="35"/>
      <c r="I1665" s="35"/>
      <c r="J1665" s="35"/>
      <c r="K1665" s="35"/>
      <c r="L1665" s="35"/>
    </row>
    <row r="1666" spans="1:15" ht="15" customHeight="1" x14ac:dyDescent="0.2">
      <c r="A1666" s="36" t="s">
        <v>31</v>
      </c>
      <c r="B1666" s="36"/>
      <c r="C1666" s="36"/>
      <c r="D1666" s="36"/>
      <c r="E1666" s="36"/>
      <c r="F1666" s="36"/>
      <c r="G1666" s="36"/>
      <c r="H1666" s="36"/>
      <c r="I1666" s="36"/>
      <c r="J1666" s="36"/>
      <c r="K1666" s="36"/>
      <c r="L1666" s="36"/>
    </row>
    <row r="1667" spans="1:15" ht="15" customHeight="1" x14ac:dyDescent="0.2"/>
    <row r="1668" spans="1:15" x14ac:dyDescent="0.2">
      <c r="C1668" s="2" t="s">
        <v>32</v>
      </c>
      <c r="D1668" s="2"/>
      <c r="E1668" s="2"/>
      <c r="F1668" s="2"/>
      <c r="G1668" s="2"/>
      <c r="H1668" s="2"/>
      <c r="I1668" s="2"/>
      <c r="J1668" s="2"/>
      <c r="K1668" s="2"/>
      <c r="L1668" s="2"/>
    </row>
    <row r="1669" spans="1:15" x14ac:dyDescent="0.2">
      <c r="D1669" s="2"/>
      <c r="E1669" s="2"/>
      <c r="F1669" s="2"/>
      <c r="G1669" s="2"/>
      <c r="H1669" s="2"/>
      <c r="J1669" s="2"/>
      <c r="K1669" s="2"/>
    </row>
    <row r="1670" spans="1:15" x14ac:dyDescent="0.2">
      <c r="C1670" s="2"/>
      <c r="I1670" s="2"/>
      <c r="O1670" s="3" t="s">
        <v>35</v>
      </c>
    </row>
    <row r="1672" spans="1:15" x14ac:dyDescent="0.2">
      <c r="K1672" s="39"/>
    </row>
    <row r="1673" spans="1:15" x14ac:dyDescent="0.2">
      <c r="K1673" s="39"/>
    </row>
    <row r="1676" spans="1:15" x14ac:dyDescent="0.2">
      <c r="C1676" s="20" t="s">
        <v>0</v>
      </c>
      <c r="D1676" s="20"/>
      <c r="E1676" s="5"/>
      <c r="F1676" s="6"/>
      <c r="H1676" s="5" t="s">
        <v>1</v>
      </c>
      <c r="I1676" s="4"/>
    </row>
    <row r="1677" spans="1:15" ht="20.25" customHeight="1" x14ac:dyDescent="0.2"/>
    <row r="1678" spans="1:15" ht="14.25" customHeight="1" x14ac:dyDescent="0.2">
      <c r="B1678" s="5" t="s">
        <v>2</v>
      </c>
      <c r="C1678" s="34" t="s">
        <v>3</v>
      </c>
      <c r="D1678" s="34"/>
      <c r="E1678" s="5"/>
      <c r="F1678" s="5" t="s">
        <v>4</v>
      </c>
      <c r="G1678" s="5"/>
      <c r="H1678" s="8" t="s">
        <v>5</v>
      </c>
      <c r="J1678" s="7" t="s">
        <v>6</v>
      </c>
      <c r="K1678" s="15"/>
    </row>
    <row r="1679" spans="1:15" x14ac:dyDescent="0.2">
      <c r="B1679" s="5" t="s">
        <v>7</v>
      </c>
      <c r="C1679" s="23" t="s">
        <v>8</v>
      </c>
      <c r="D1679" s="23"/>
      <c r="E1679" s="7" t="s">
        <v>9</v>
      </c>
      <c r="F1679" s="5"/>
      <c r="G1679" s="5"/>
      <c r="H1679" s="5"/>
      <c r="I1679" s="5"/>
      <c r="J1679" s="7" t="s">
        <v>10</v>
      </c>
      <c r="K1679" s="15"/>
      <c r="L1679" s="5"/>
    </row>
    <row r="1680" spans="1:15" x14ac:dyDescent="0.2">
      <c r="B1680" s="28" t="s">
        <v>33</v>
      </c>
      <c r="C1680" s="28"/>
      <c r="D1680" s="6" t="s">
        <v>11</v>
      </c>
      <c r="E1680" s="7" t="s">
        <v>12</v>
      </c>
      <c r="F1680" s="8" t="s">
        <v>13</v>
      </c>
      <c r="G1680" s="7" t="s">
        <v>14</v>
      </c>
      <c r="H1680" s="9" t="s">
        <v>15</v>
      </c>
      <c r="I1680" s="5"/>
      <c r="J1680" s="5"/>
      <c r="K1680" s="5"/>
      <c r="L1680" s="5"/>
    </row>
    <row r="1681" spans="2:12" ht="14.25" customHeight="1" x14ac:dyDescent="0.2">
      <c r="B1681" s="5" t="s">
        <v>16</v>
      </c>
      <c r="C1681" s="27" t="s">
        <v>17</v>
      </c>
      <c r="D1681" s="27"/>
      <c r="E1681" s="27"/>
      <c r="F1681" s="27"/>
      <c r="G1681" s="27"/>
      <c r="H1681" s="5"/>
      <c r="I1681" s="5"/>
      <c r="J1681" s="5"/>
      <c r="K1681" s="5"/>
      <c r="L1681" s="5"/>
    </row>
    <row r="1682" spans="2:12" x14ac:dyDescent="0.2">
      <c r="B1682" s="5"/>
      <c r="C1682" s="27" t="s">
        <v>18</v>
      </c>
      <c r="D1682" s="27"/>
      <c r="E1682" s="27"/>
      <c r="F1682" s="27"/>
      <c r="G1682" s="27"/>
      <c r="H1682" s="5"/>
      <c r="I1682" s="5"/>
      <c r="J1682" s="5"/>
      <c r="K1682" s="5"/>
      <c r="L1682" s="5"/>
    </row>
    <row r="1683" spans="2:12" ht="9" customHeight="1" x14ac:dyDescent="0.2">
      <c r="B1683" s="5" t="s">
        <v>19</v>
      </c>
      <c r="C1683" s="5"/>
      <c r="D1683" s="5"/>
      <c r="E1683" s="5"/>
      <c r="F1683" s="5"/>
      <c r="G1683" s="5"/>
      <c r="H1683" s="5"/>
      <c r="I1683" s="5"/>
      <c r="J1683" s="5"/>
      <c r="K1683" s="5"/>
      <c r="L1683" s="5"/>
    </row>
    <row r="1684" spans="2:12" x14ac:dyDescent="0.2">
      <c r="B1684" s="29" t="s">
        <v>20</v>
      </c>
      <c r="C1684" s="29"/>
      <c r="D1684" s="29"/>
      <c r="E1684" s="29"/>
      <c r="F1684" s="29"/>
      <c r="G1684" s="29"/>
      <c r="H1684" s="10" t="s">
        <v>21</v>
      </c>
      <c r="I1684" s="30" t="s">
        <v>22</v>
      </c>
      <c r="J1684" s="31"/>
      <c r="K1684" s="10" t="s">
        <v>23</v>
      </c>
      <c r="L1684" s="12"/>
    </row>
    <row r="1685" spans="2:12" ht="14.25" customHeight="1" x14ac:dyDescent="0.2">
      <c r="B1685" s="32"/>
      <c r="C1685" s="32"/>
      <c r="D1685" s="32"/>
      <c r="E1685" s="32"/>
      <c r="F1685" s="32"/>
      <c r="G1685" s="32"/>
      <c r="H1685" s="1"/>
      <c r="I1685" s="33"/>
      <c r="J1685" s="33"/>
      <c r="K1685" s="18"/>
      <c r="L1685" s="11"/>
    </row>
    <row r="1686" spans="2:12" x14ac:dyDescent="0.2">
      <c r="B1686" s="22"/>
      <c r="C1686" s="22"/>
      <c r="D1686" s="22"/>
      <c r="E1686" s="22"/>
      <c r="F1686" s="22"/>
      <c r="G1686" s="22"/>
      <c r="H1686" s="22"/>
      <c r="I1686" s="22"/>
      <c r="J1686" s="22"/>
      <c r="K1686" s="22"/>
      <c r="L1686" s="11"/>
    </row>
    <row r="1687" spans="2:12" x14ac:dyDescent="0.2">
      <c r="B1687" s="22"/>
      <c r="C1687" s="22"/>
      <c r="D1687" s="22"/>
      <c r="E1687" s="22"/>
      <c r="F1687" s="22"/>
      <c r="G1687" s="22"/>
      <c r="H1687" s="1"/>
      <c r="I1687" s="25"/>
      <c r="J1687" s="26"/>
      <c r="K1687" s="14"/>
      <c r="L1687" s="11"/>
    </row>
    <row r="1688" spans="2:12" x14ac:dyDescent="0.2">
      <c r="B1688" s="22"/>
      <c r="C1688" s="22"/>
      <c r="D1688" s="22"/>
      <c r="E1688" s="22"/>
      <c r="F1688" s="22"/>
      <c r="G1688" s="22"/>
      <c r="H1688" s="22"/>
      <c r="I1688" s="22"/>
      <c r="J1688" s="22"/>
      <c r="K1688" s="22"/>
      <c r="L1688" s="11"/>
    </row>
    <row r="1689" spans="2:12" x14ac:dyDescent="0.2">
      <c r="B1689" s="22"/>
      <c r="C1689" s="22"/>
      <c r="D1689" s="22"/>
      <c r="E1689" s="22"/>
      <c r="F1689" s="22"/>
      <c r="G1689" s="22"/>
      <c r="H1689" s="1"/>
      <c r="I1689" s="25"/>
      <c r="J1689" s="26"/>
      <c r="K1689" s="14"/>
      <c r="L1689" s="11"/>
    </row>
    <row r="1690" spans="2:12" x14ac:dyDescent="0.2">
      <c r="B1690" s="22"/>
      <c r="C1690" s="22"/>
      <c r="D1690" s="22"/>
      <c r="E1690" s="22"/>
      <c r="F1690" s="22"/>
      <c r="G1690" s="22"/>
      <c r="H1690" s="22"/>
      <c r="I1690" s="22"/>
      <c r="J1690" s="22"/>
      <c r="K1690" s="22"/>
      <c r="L1690" s="11"/>
    </row>
    <row r="1691" spans="2:12" ht="14.25" customHeight="1" x14ac:dyDescent="0.2">
      <c r="B1691" s="24"/>
      <c r="C1691" s="24"/>
      <c r="D1691" s="24"/>
      <c r="E1691" s="24"/>
      <c r="F1691" s="24"/>
      <c r="G1691" s="24"/>
      <c r="H1691" s="1"/>
      <c r="I1691" s="25"/>
      <c r="J1691" s="26"/>
      <c r="K1691" s="14"/>
      <c r="L1691" s="11"/>
    </row>
    <row r="1692" spans="2:12" x14ac:dyDescent="0.2">
      <c r="B1692" s="22"/>
      <c r="C1692" s="22"/>
      <c r="D1692" s="22"/>
      <c r="E1692" s="22"/>
      <c r="F1692" s="22"/>
      <c r="G1692" s="22"/>
      <c r="H1692" s="22"/>
      <c r="I1692" s="22"/>
      <c r="J1692" s="22"/>
      <c r="K1692" s="22"/>
      <c r="L1692" s="11"/>
    </row>
    <row r="1693" spans="2:12" x14ac:dyDescent="0.2">
      <c r="B1693" s="22"/>
      <c r="C1693" s="22"/>
      <c r="D1693" s="22"/>
      <c r="E1693" s="22"/>
      <c r="F1693" s="22"/>
      <c r="G1693" s="22"/>
      <c r="H1693" s="1"/>
      <c r="I1693" s="25"/>
      <c r="J1693" s="26"/>
      <c r="K1693" s="14"/>
      <c r="L1693" s="11"/>
    </row>
    <row r="1694" spans="2:12" x14ac:dyDescent="0.2">
      <c r="B1694" s="22"/>
      <c r="C1694" s="22"/>
      <c r="D1694" s="22"/>
      <c r="E1694" s="22"/>
      <c r="F1694" s="22"/>
      <c r="G1694" s="22"/>
      <c r="H1694" s="22"/>
      <c r="I1694" s="22"/>
      <c r="J1694" s="22"/>
      <c r="K1694" s="22"/>
      <c r="L1694" s="11"/>
    </row>
    <row r="1695" spans="2:12" x14ac:dyDescent="0.2">
      <c r="B1695" s="22"/>
      <c r="C1695" s="22"/>
      <c r="D1695" s="22"/>
      <c r="E1695" s="22"/>
      <c r="F1695" s="22"/>
      <c r="G1695" s="22"/>
      <c r="H1695" s="1"/>
      <c r="I1695" s="25"/>
      <c r="J1695" s="26"/>
      <c r="K1695" s="14"/>
      <c r="L1695" s="11"/>
    </row>
    <row r="1696" spans="2:12" x14ac:dyDescent="0.2">
      <c r="B1696" s="22"/>
      <c r="C1696" s="22"/>
      <c r="D1696" s="22"/>
      <c r="E1696" s="22"/>
      <c r="F1696" s="22"/>
      <c r="G1696" s="22"/>
      <c r="H1696" s="22"/>
      <c r="I1696" s="22"/>
      <c r="J1696" s="22"/>
      <c r="K1696" s="22"/>
      <c r="L1696" s="11"/>
    </row>
    <row r="1697" spans="2:12" x14ac:dyDescent="0.2">
      <c r="B1697" s="22"/>
      <c r="C1697" s="22"/>
      <c r="D1697" s="22"/>
      <c r="E1697" s="22"/>
      <c r="F1697" s="22"/>
      <c r="G1697" s="22"/>
      <c r="H1697" s="1"/>
      <c r="I1697" s="25"/>
      <c r="J1697" s="26"/>
      <c r="K1697" s="14"/>
      <c r="L1697" s="11"/>
    </row>
    <row r="1698" spans="2:12" x14ac:dyDescent="0.2">
      <c r="B1698" s="22"/>
      <c r="C1698" s="22"/>
      <c r="D1698" s="22"/>
      <c r="E1698" s="22"/>
      <c r="F1698" s="22"/>
      <c r="G1698" s="22"/>
      <c r="H1698" s="22"/>
      <c r="I1698" s="22"/>
      <c r="J1698" s="22"/>
      <c r="K1698" s="22"/>
      <c r="L1698" s="11"/>
    </row>
    <row r="1699" spans="2:12" ht="14.25" customHeight="1" x14ac:dyDescent="0.2">
      <c r="B1699" s="24"/>
      <c r="C1699" s="24"/>
      <c r="D1699" s="24"/>
      <c r="E1699" s="24"/>
      <c r="F1699" s="24"/>
      <c r="G1699" s="24"/>
      <c r="H1699" s="1"/>
      <c r="I1699" s="25"/>
      <c r="J1699" s="26"/>
      <c r="K1699" s="14"/>
      <c r="L1699" s="11"/>
    </row>
    <row r="1700" spans="2:12" x14ac:dyDescent="0.2">
      <c r="B1700" s="22"/>
      <c r="C1700" s="22"/>
      <c r="D1700" s="22"/>
      <c r="E1700" s="22"/>
      <c r="F1700" s="22"/>
      <c r="G1700" s="22"/>
      <c r="H1700" s="22"/>
      <c r="I1700" s="22"/>
      <c r="J1700" s="22"/>
      <c r="K1700" s="22"/>
    </row>
    <row r="1701" spans="2:12" ht="14.25" customHeight="1" x14ac:dyDescent="0.2">
      <c r="B1701" s="24"/>
      <c r="C1701" s="24"/>
      <c r="D1701" s="24"/>
      <c r="E1701" s="24"/>
      <c r="F1701" s="24"/>
      <c r="G1701" s="24"/>
      <c r="H1701" s="1"/>
      <c r="I1701" s="37"/>
      <c r="J1701" s="26"/>
      <c r="K1701" s="14"/>
    </row>
    <row r="1702" spans="2:12" x14ac:dyDescent="0.2">
      <c r="B1702" s="22"/>
      <c r="C1702" s="22"/>
      <c r="D1702" s="22"/>
      <c r="E1702" s="22"/>
      <c r="F1702" s="22"/>
      <c r="G1702" s="22"/>
      <c r="H1702" s="22"/>
      <c r="I1702" s="22"/>
      <c r="J1702" s="22"/>
      <c r="K1702" s="22"/>
    </row>
    <row r="1703" spans="2:12" x14ac:dyDescent="0.2">
      <c r="B1703" s="22"/>
      <c r="C1703" s="22"/>
      <c r="D1703" s="22"/>
      <c r="E1703" s="22"/>
      <c r="F1703" s="22"/>
      <c r="G1703" s="22"/>
      <c r="H1703" s="1"/>
      <c r="I1703" s="21"/>
      <c r="J1703" s="21"/>
      <c r="K1703" s="11"/>
    </row>
    <row r="1704" spans="2:12" x14ac:dyDescent="0.2">
      <c r="B1704" s="22"/>
      <c r="C1704" s="22"/>
      <c r="D1704" s="22"/>
      <c r="E1704" s="22"/>
      <c r="F1704" s="22"/>
      <c r="G1704" s="22"/>
      <c r="H1704" s="1"/>
      <c r="I1704" s="21"/>
      <c r="J1704" s="21"/>
      <c r="K1704" s="11"/>
    </row>
    <row r="1705" spans="2:12" x14ac:dyDescent="0.2">
      <c r="B1705" s="5" t="s">
        <v>24</v>
      </c>
      <c r="C1705" s="5"/>
      <c r="D1705" s="5"/>
      <c r="E1705" s="5"/>
      <c r="F1705" s="7" t="s">
        <v>25</v>
      </c>
      <c r="G1705" s="5"/>
      <c r="H1705" s="5"/>
      <c r="K1705" s="16">
        <f>SUM(K1685,K1687,K1689,K1691,K1693,K1695,K1697,K1699,K1701)</f>
        <v>0</v>
      </c>
    </row>
    <row r="1706" spans="2:12" x14ac:dyDescent="0.2">
      <c r="B1706" s="5"/>
      <c r="C1706" s="5"/>
      <c r="D1706" s="5"/>
      <c r="E1706" s="5"/>
      <c r="F1706" s="7" t="s">
        <v>26</v>
      </c>
      <c r="G1706" s="5"/>
      <c r="H1706" s="5"/>
      <c r="K1706" s="16">
        <v>0</v>
      </c>
    </row>
    <row r="1707" spans="2:12" x14ac:dyDescent="0.2">
      <c r="B1707" s="5"/>
      <c r="C1707" s="5"/>
      <c r="D1707" s="5"/>
      <c r="E1707" s="5"/>
      <c r="F1707" s="7" t="s">
        <v>27</v>
      </c>
      <c r="G1707" s="5"/>
      <c r="H1707" s="5"/>
      <c r="K1707" s="16">
        <f>K1705+K1706</f>
        <v>0</v>
      </c>
    </row>
    <row r="1708" spans="2:12" x14ac:dyDescent="0.2">
      <c r="B1708" s="28" t="s">
        <v>28</v>
      </c>
      <c r="C1708" s="28"/>
      <c r="D1708" s="28"/>
      <c r="E1708" s="5"/>
      <c r="F1708" s="7" t="s">
        <v>29</v>
      </c>
      <c r="G1708" s="5"/>
      <c r="H1708" s="13">
        <v>0.16</v>
      </c>
      <c r="K1708" s="17">
        <f>K1707*0.16</f>
        <v>0</v>
      </c>
    </row>
    <row r="1709" spans="2:12" x14ac:dyDescent="0.2">
      <c r="B1709" s="5"/>
      <c r="C1709" s="5"/>
      <c r="D1709" s="5"/>
      <c r="E1709" s="5"/>
      <c r="F1709" s="7" t="s">
        <v>30</v>
      </c>
      <c r="G1709" s="5"/>
      <c r="H1709" s="5"/>
      <c r="K1709" s="17">
        <f>K1707*1.16</f>
        <v>0</v>
      </c>
    </row>
    <row r="1713" spans="1:12" ht="13.5" customHeight="1" x14ac:dyDescent="0.2">
      <c r="A1713" s="35" t="s">
        <v>34</v>
      </c>
      <c r="B1713" s="35"/>
      <c r="C1713" s="35"/>
      <c r="D1713" s="35"/>
      <c r="E1713" s="35"/>
      <c r="F1713" s="35"/>
      <c r="G1713" s="35"/>
      <c r="H1713" s="35"/>
      <c r="I1713" s="35"/>
      <c r="J1713" s="35"/>
      <c r="K1713" s="35"/>
      <c r="L1713" s="35"/>
    </row>
    <row r="1714" spans="1:12" x14ac:dyDescent="0.2">
      <c r="A1714" s="35"/>
      <c r="B1714" s="35"/>
      <c r="C1714" s="35"/>
      <c r="D1714" s="35"/>
      <c r="E1714" s="35"/>
      <c r="F1714" s="35"/>
      <c r="G1714" s="35"/>
      <c r="H1714" s="35"/>
      <c r="I1714" s="35"/>
      <c r="J1714" s="35"/>
      <c r="K1714" s="35"/>
      <c r="L1714" s="35"/>
    </row>
    <row r="1715" spans="1:12" ht="15" customHeight="1" x14ac:dyDescent="0.2">
      <c r="A1715" s="36" t="s">
        <v>31</v>
      </c>
      <c r="B1715" s="36"/>
      <c r="C1715" s="36"/>
      <c r="D1715" s="36"/>
      <c r="E1715" s="36"/>
      <c r="F1715" s="36"/>
      <c r="G1715" s="36"/>
      <c r="H1715" s="36"/>
      <c r="I1715" s="36"/>
      <c r="J1715" s="36"/>
      <c r="K1715" s="36"/>
      <c r="L1715" s="36"/>
    </row>
    <row r="1716" spans="1:12" ht="15" customHeight="1" x14ac:dyDescent="0.2"/>
    <row r="1717" spans="1:12" x14ac:dyDescent="0.2">
      <c r="C1717" s="2" t="s">
        <v>32</v>
      </c>
      <c r="D1717" s="2"/>
      <c r="E1717" s="2"/>
      <c r="F1717" s="2"/>
      <c r="G1717" s="2"/>
      <c r="H1717" s="2"/>
      <c r="I1717" s="2"/>
      <c r="J1717" s="2"/>
      <c r="K1717" s="2"/>
      <c r="L1717" s="2"/>
    </row>
    <row r="1718" spans="1:12" x14ac:dyDescent="0.2">
      <c r="D1718" s="2"/>
      <c r="E1718" s="2"/>
      <c r="F1718" s="2"/>
      <c r="G1718" s="2"/>
      <c r="H1718" s="2"/>
      <c r="J1718" s="2"/>
      <c r="K1718" s="2"/>
    </row>
    <row r="1719" spans="1:12" x14ac:dyDescent="0.2">
      <c r="C1719" s="2"/>
      <c r="I1719" s="2"/>
    </row>
    <row r="1721" spans="1:12" x14ac:dyDescent="0.2">
      <c r="K1721" s="39"/>
    </row>
    <row r="1722" spans="1:12" x14ac:dyDescent="0.2">
      <c r="K1722" s="39"/>
    </row>
    <row r="1725" spans="1:12" x14ac:dyDescent="0.2">
      <c r="C1725" s="20" t="s">
        <v>0</v>
      </c>
      <c r="D1725" s="20"/>
      <c r="E1725" s="5"/>
      <c r="F1725" s="6"/>
      <c r="H1725" s="5" t="s">
        <v>1</v>
      </c>
      <c r="I1725" s="4"/>
    </row>
    <row r="1726" spans="1:12" ht="20.25" customHeight="1" x14ac:dyDescent="0.2"/>
    <row r="1727" spans="1:12" ht="14.25" customHeight="1" x14ac:dyDescent="0.2">
      <c r="B1727" s="5" t="s">
        <v>2</v>
      </c>
      <c r="C1727" s="34" t="s">
        <v>3</v>
      </c>
      <c r="D1727" s="34"/>
      <c r="E1727" s="5"/>
      <c r="F1727" s="5" t="s">
        <v>4</v>
      </c>
      <c r="G1727" s="5"/>
      <c r="H1727" s="8" t="s">
        <v>5</v>
      </c>
      <c r="J1727" s="7" t="s">
        <v>6</v>
      </c>
      <c r="K1727" s="15"/>
    </row>
    <row r="1728" spans="1:12" x14ac:dyDescent="0.2">
      <c r="B1728" s="5" t="s">
        <v>7</v>
      </c>
      <c r="C1728" s="23" t="s">
        <v>8</v>
      </c>
      <c r="D1728" s="23"/>
      <c r="E1728" s="7" t="s">
        <v>9</v>
      </c>
      <c r="F1728" s="5"/>
      <c r="G1728" s="5"/>
      <c r="H1728" s="5"/>
      <c r="I1728" s="5"/>
      <c r="J1728" s="7" t="s">
        <v>10</v>
      </c>
      <c r="K1728" s="15"/>
      <c r="L1728" s="5"/>
    </row>
    <row r="1729" spans="2:12" x14ac:dyDescent="0.2">
      <c r="B1729" s="28" t="s">
        <v>33</v>
      </c>
      <c r="C1729" s="28"/>
      <c r="D1729" s="6" t="s">
        <v>11</v>
      </c>
      <c r="E1729" s="7" t="s">
        <v>12</v>
      </c>
      <c r="F1729" s="8" t="s">
        <v>13</v>
      </c>
      <c r="G1729" s="7" t="s">
        <v>14</v>
      </c>
      <c r="H1729" s="9" t="s">
        <v>15</v>
      </c>
      <c r="I1729" s="5"/>
      <c r="J1729" s="5"/>
      <c r="K1729" s="5"/>
      <c r="L1729" s="5"/>
    </row>
    <row r="1730" spans="2:12" ht="14.25" customHeight="1" x14ac:dyDescent="0.2">
      <c r="B1730" s="5" t="s">
        <v>16</v>
      </c>
      <c r="C1730" s="27" t="s">
        <v>17</v>
      </c>
      <c r="D1730" s="27"/>
      <c r="E1730" s="27"/>
      <c r="F1730" s="27"/>
      <c r="G1730" s="27"/>
      <c r="H1730" s="5"/>
      <c r="I1730" s="5"/>
      <c r="J1730" s="5"/>
      <c r="K1730" s="5"/>
      <c r="L1730" s="5"/>
    </row>
    <row r="1731" spans="2:12" x14ac:dyDescent="0.2">
      <c r="B1731" s="5"/>
      <c r="C1731" s="27" t="s">
        <v>18</v>
      </c>
      <c r="D1731" s="27"/>
      <c r="E1731" s="27"/>
      <c r="F1731" s="27"/>
      <c r="G1731" s="27"/>
      <c r="H1731" s="5"/>
      <c r="I1731" s="5"/>
      <c r="J1731" s="5"/>
      <c r="K1731" s="5"/>
      <c r="L1731" s="5"/>
    </row>
    <row r="1732" spans="2:12" ht="9" customHeight="1" x14ac:dyDescent="0.2">
      <c r="B1732" s="5" t="s">
        <v>19</v>
      </c>
      <c r="C1732" s="5"/>
      <c r="D1732" s="5"/>
      <c r="E1732" s="5"/>
      <c r="F1732" s="5"/>
      <c r="G1732" s="5"/>
      <c r="H1732" s="5"/>
      <c r="I1732" s="5"/>
      <c r="J1732" s="5"/>
      <c r="K1732" s="5"/>
      <c r="L1732" s="5"/>
    </row>
    <row r="1733" spans="2:12" x14ac:dyDescent="0.2">
      <c r="B1733" s="29" t="s">
        <v>20</v>
      </c>
      <c r="C1733" s="29"/>
      <c r="D1733" s="29"/>
      <c r="E1733" s="29"/>
      <c r="F1733" s="29"/>
      <c r="G1733" s="29"/>
      <c r="H1733" s="10" t="s">
        <v>21</v>
      </c>
      <c r="I1733" s="30" t="s">
        <v>22</v>
      </c>
      <c r="J1733" s="31"/>
      <c r="K1733" s="10" t="s">
        <v>23</v>
      </c>
      <c r="L1733" s="12"/>
    </row>
    <row r="1734" spans="2:12" ht="14.25" customHeight="1" x14ac:dyDescent="0.2">
      <c r="B1734" s="32"/>
      <c r="C1734" s="32"/>
      <c r="D1734" s="32"/>
      <c r="E1734" s="32"/>
      <c r="F1734" s="32"/>
      <c r="G1734" s="32"/>
      <c r="H1734" s="1"/>
      <c r="I1734" s="33"/>
      <c r="J1734" s="33"/>
      <c r="K1734" s="18"/>
      <c r="L1734" s="11"/>
    </row>
    <row r="1735" spans="2:12" x14ac:dyDescent="0.2">
      <c r="B1735" s="22"/>
      <c r="C1735" s="22"/>
      <c r="D1735" s="22"/>
      <c r="E1735" s="22"/>
      <c r="F1735" s="22"/>
      <c r="G1735" s="22"/>
      <c r="H1735" s="22"/>
      <c r="I1735" s="22"/>
      <c r="J1735" s="22"/>
      <c r="K1735" s="22"/>
      <c r="L1735" s="11"/>
    </row>
    <row r="1736" spans="2:12" x14ac:dyDescent="0.2">
      <c r="B1736" s="22"/>
      <c r="C1736" s="22"/>
      <c r="D1736" s="22"/>
      <c r="E1736" s="22"/>
      <c r="F1736" s="22"/>
      <c r="G1736" s="22"/>
      <c r="H1736" s="1"/>
      <c r="I1736" s="25"/>
      <c r="J1736" s="26"/>
      <c r="K1736" s="14"/>
      <c r="L1736" s="11"/>
    </row>
    <row r="1737" spans="2:12" x14ac:dyDescent="0.2">
      <c r="B1737" s="22"/>
      <c r="C1737" s="22"/>
      <c r="D1737" s="22"/>
      <c r="E1737" s="22"/>
      <c r="F1737" s="22"/>
      <c r="G1737" s="22"/>
      <c r="H1737" s="22"/>
      <c r="I1737" s="22"/>
      <c r="J1737" s="22"/>
      <c r="K1737" s="22"/>
      <c r="L1737" s="11"/>
    </row>
    <row r="1738" spans="2:12" x14ac:dyDescent="0.2">
      <c r="B1738" s="22"/>
      <c r="C1738" s="22"/>
      <c r="D1738" s="22"/>
      <c r="E1738" s="22"/>
      <c r="F1738" s="22"/>
      <c r="G1738" s="22"/>
      <c r="H1738" s="1"/>
      <c r="I1738" s="25"/>
      <c r="J1738" s="26"/>
      <c r="K1738" s="14"/>
      <c r="L1738" s="11"/>
    </row>
    <row r="1739" spans="2:12" x14ac:dyDescent="0.2">
      <c r="B1739" s="22"/>
      <c r="C1739" s="22"/>
      <c r="D1739" s="22"/>
      <c r="E1739" s="22"/>
      <c r="F1739" s="22"/>
      <c r="G1739" s="22"/>
      <c r="H1739" s="22"/>
      <c r="I1739" s="22"/>
      <c r="J1739" s="22"/>
      <c r="K1739" s="22"/>
      <c r="L1739" s="11"/>
    </row>
    <row r="1740" spans="2:12" ht="14.25" customHeight="1" x14ac:dyDescent="0.2">
      <c r="B1740" s="24"/>
      <c r="C1740" s="24"/>
      <c r="D1740" s="24"/>
      <c r="E1740" s="24"/>
      <c r="F1740" s="24"/>
      <c r="G1740" s="24"/>
      <c r="H1740" s="1"/>
      <c r="I1740" s="25"/>
      <c r="J1740" s="26"/>
      <c r="K1740" s="14"/>
      <c r="L1740" s="11"/>
    </row>
    <row r="1741" spans="2:12" x14ac:dyDescent="0.2">
      <c r="B1741" s="22"/>
      <c r="C1741" s="22"/>
      <c r="D1741" s="22"/>
      <c r="E1741" s="22"/>
      <c r="F1741" s="22"/>
      <c r="G1741" s="22"/>
      <c r="H1741" s="22"/>
      <c r="I1741" s="22"/>
      <c r="J1741" s="22"/>
      <c r="K1741" s="22"/>
      <c r="L1741" s="11"/>
    </row>
    <row r="1742" spans="2:12" x14ac:dyDescent="0.2">
      <c r="B1742" s="22"/>
      <c r="C1742" s="22"/>
      <c r="D1742" s="22"/>
      <c r="E1742" s="22"/>
      <c r="F1742" s="22"/>
      <c r="G1742" s="22"/>
      <c r="H1742" s="1"/>
      <c r="I1742" s="25"/>
      <c r="J1742" s="26"/>
      <c r="K1742" s="14"/>
      <c r="L1742" s="11"/>
    </row>
    <row r="1743" spans="2:12" x14ac:dyDescent="0.2">
      <c r="B1743" s="22"/>
      <c r="C1743" s="22"/>
      <c r="D1743" s="22"/>
      <c r="E1743" s="22"/>
      <c r="F1743" s="22"/>
      <c r="G1743" s="22"/>
      <c r="H1743" s="22"/>
      <c r="I1743" s="22"/>
      <c r="J1743" s="22"/>
      <c r="K1743" s="22"/>
      <c r="L1743" s="11"/>
    </row>
    <row r="1744" spans="2:12" x14ac:dyDescent="0.2">
      <c r="B1744" s="22"/>
      <c r="C1744" s="22"/>
      <c r="D1744" s="22"/>
      <c r="E1744" s="22"/>
      <c r="F1744" s="22"/>
      <c r="G1744" s="22"/>
      <c r="H1744" s="1"/>
      <c r="I1744" s="25"/>
      <c r="J1744" s="26"/>
      <c r="K1744" s="14"/>
      <c r="L1744" s="11"/>
    </row>
    <row r="1745" spans="2:12" x14ac:dyDescent="0.2">
      <c r="B1745" s="22"/>
      <c r="C1745" s="22"/>
      <c r="D1745" s="22"/>
      <c r="E1745" s="22"/>
      <c r="F1745" s="22"/>
      <c r="G1745" s="22"/>
      <c r="H1745" s="22"/>
      <c r="I1745" s="22"/>
      <c r="J1745" s="22"/>
      <c r="K1745" s="22"/>
      <c r="L1745" s="11"/>
    </row>
    <row r="1746" spans="2:12" x14ac:dyDescent="0.2">
      <c r="B1746" s="22"/>
      <c r="C1746" s="22"/>
      <c r="D1746" s="22"/>
      <c r="E1746" s="22"/>
      <c r="F1746" s="22"/>
      <c r="G1746" s="22"/>
      <c r="H1746" s="1"/>
      <c r="I1746" s="25"/>
      <c r="J1746" s="26"/>
      <c r="K1746" s="14"/>
      <c r="L1746" s="11"/>
    </row>
    <row r="1747" spans="2:12" x14ac:dyDescent="0.2">
      <c r="B1747" s="22"/>
      <c r="C1747" s="22"/>
      <c r="D1747" s="22"/>
      <c r="E1747" s="22"/>
      <c r="F1747" s="22"/>
      <c r="G1747" s="22"/>
      <c r="H1747" s="22"/>
      <c r="I1747" s="22"/>
      <c r="J1747" s="22"/>
      <c r="K1747" s="22"/>
      <c r="L1747" s="11"/>
    </row>
    <row r="1748" spans="2:12" ht="14.25" customHeight="1" x14ac:dyDescent="0.2">
      <c r="B1748" s="24"/>
      <c r="C1748" s="24"/>
      <c r="D1748" s="24"/>
      <c r="E1748" s="24"/>
      <c r="F1748" s="24"/>
      <c r="G1748" s="24"/>
      <c r="H1748" s="1"/>
      <c r="I1748" s="25"/>
      <c r="J1748" s="26"/>
      <c r="K1748" s="14"/>
      <c r="L1748" s="11"/>
    </row>
    <row r="1749" spans="2:12" x14ac:dyDescent="0.2">
      <c r="B1749" s="22"/>
      <c r="C1749" s="22"/>
      <c r="D1749" s="22"/>
      <c r="E1749" s="22"/>
      <c r="F1749" s="22"/>
      <c r="G1749" s="22"/>
      <c r="H1749" s="22"/>
      <c r="I1749" s="22"/>
      <c r="J1749" s="22"/>
      <c r="K1749" s="22"/>
    </row>
    <row r="1750" spans="2:12" ht="14.25" customHeight="1" x14ac:dyDescent="0.2">
      <c r="B1750" s="24"/>
      <c r="C1750" s="24"/>
      <c r="D1750" s="24"/>
      <c r="E1750" s="24"/>
      <c r="F1750" s="24"/>
      <c r="G1750" s="24"/>
      <c r="H1750" s="1"/>
      <c r="I1750" s="37"/>
      <c r="J1750" s="26"/>
      <c r="K1750" s="14"/>
    </row>
    <row r="1751" spans="2:12" x14ac:dyDescent="0.2">
      <c r="B1751" s="22"/>
      <c r="C1751" s="22"/>
      <c r="D1751" s="22"/>
      <c r="E1751" s="22"/>
      <c r="F1751" s="22"/>
      <c r="G1751" s="22"/>
      <c r="H1751" s="22"/>
      <c r="I1751" s="22"/>
      <c r="J1751" s="22"/>
      <c r="K1751" s="22"/>
    </row>
    <row r="1752" spans="2:12" x14ac:dyDescent="0.2">
      <c r="B1752" s="22"/>
      <c r="C1752" s="22"/>
      <c r="D1752" s="22"/>
      <c r="E1752" s="22"/>
      <c r="F1752" s="22"/>
      <c r="G1752" s="22"/>
      <c r="H1752" s="1"/>
      <c r="I1752" s="21"/>
      <c r="J1752" s="21"/>
      <c r="K1752" s="11"/>
    </row>
    <row r="1753" spans="2:12" x14ac:dyDescent="0.2">
      <c r="B1753" s="22"/>
      <c r="C1753" s="22"/>
      <c r="D1753" s="22"/>
      <c r="E1753" s="22"/>
      <c r="F1753" s="22"/>
      <c r="G1753" s="22"/>
      <c r="H1753" s="1"/>
      <c r="I1753" s="21"/>
      <c r="J1753" s="21"/>
      <c r="K1753" s="11"/>
    </row>
    <row r="1754" spans="2:12" x14ac:dyDescent="0.2">
      <c r="B1754" s="5" t="s">
        <v>24</v>
      </c>
      <c r="C1754" s="5"/>
      <c r="D1754" s="5"/>
      <c r="E1754" s="5"/>
      <c r="F1754" s="7" t="s">
        <v>25</v>
      </c>
      <c r="G1754" s="5"/>
      <c r="H1754" s="5"/>
      <c r="K1754" s="16">
        <f>SUM(K1734,K1736,K1738,K1740,K1742,K1744,K1746,K1748,K1750)</f>
        <v>0</v>
      </c>
    </row>
    <row r="1755" spans="2:12" x14ac:dyDescent="0.2">
      <c r="B1755" s="5"/>
      <c r="C1755" s="5"/>
      <c r="D1755" s="5"/>
      <c r="E1755" s="5"/>
      <c r="F1755" s="7" t="s">
        <v>26</v>
      </c>
      <c r="G1755" s="5"/>
      <c r="H1755" s="5"/>
      <c r="K1755" s="16">
        <v>0</v>
      </c>
    </row>
    <row r="1756" spans="2:12" x14ac:dyDescent="0.2">
      <c r="B1756" s="5"/>
      <c r="C1756" s="5"/>
      <c r="D1756" s="5"/>
      <c r="E1756" s="5"/>
      <c r="F1756" s="7" t="s">
        <v>27</v>
      </c>
      <c r="G1756" s="5"/>
      <c r="H1756" s="5"/>
      <c r="K1756" s="16">
        <f>K1754+K1755</f>
        <v>0</v>
      </c>
    </row>
    <row r="1757" spans="2:12" x14ac:dyDescent="0.2">
      <c r="B1757" s="28" t="s">
        <v>28</v>
      </c>
      <c r="C1757" s="28"/>
      <c r="D1757" s="28"/>
      <c r="E1757" s="5"/>
      <c r="F1757" s="7" t="s">
        <v>29</v>
      </c>
      <c r="G1757" s="5"/>
      <c r="H1757" s="13">
        <v>0.16</v>
      </c>
      <c r="K1757" s="17">
        <f>K1756*0.16</f>
        <v>0</v>
      </c>
    </row>
    <row r="1758" spans="2:12" x14ac:dyDescent="0.2">
      <c r="B1758" s="5"/>
      <c r="C1758" s="5"/>
      <c r="D1758" s="5"/>
      <c r="E1758" s="5"/>
      <c r="F1758" s="7" t="s">
        <v>30</v>
      </c>
      <c r="G1758" s="5"/>
      <c r="H1758" s="5"/>
      <c r="K1758" s="17">
        <f>K1756*1.16</f>
        <v>0</v>
      </c>
    </row>
    <row r="1762" spans="1:12" ht="13.5" customHeight="1" x14ac:dyDescent="0.2">
      <c r="A1762" s="35" t="s">
        <v>34</v>
      </c>
      <c r="B1762" s="35"/>
      <c r="C1762" s="35"/>
      <c r="D1762" s="35"/>
      <c r="E1762" s="35"/>
      <c r="F1762" s="35"/>
      <c r="G1762" s="35"/>
      <c r="H1762" s="35"/>
      <c r="I1762" s="35"/>
      <c r="J1762" s="35"/>
      <c r="K1762" s="35"/>
      <c r="L1762" s="35"/>
    </row>
    <row r="1763" spans="1:12" x14ac:dyDescent="0.2">
      <c r="A1763" s="35"/>
      <c r="B1763" s="35"/>
      <c r="C1763" s="35"/>
      <c r="D1763" s="35"/>
      <c r="E1763" s="35"/>
      <c r="F1763" s="35"/>
      <c r="G1763" s="35"/>
      <c r="H1763" s="35"/>
      <c r="I1763" s="35"/>
      <c r="J1763" s="35"/>
      <c r="K1763" s="35"/>
      <c r="L1763" s="35"/>
    </row>
    <row r="1764" spans="1:12" ht="15" customHeight="1" x14ac:dyDescent="0.2">
      <c r="A1764" s="36" t="s">
        <v>31</v>
      </c>
      <c r="B1764" s="36"/>
      <c r="C1764" s="36"/>
      <c r="D1764" s="36"/>
      <c r="E1764" s="36"/>
      <c r="F1764" s="36"/>
      <c r="G1764" s="36"/>
      <c r="H1764" s="36"/>
      <c r="I1764" s="36"/>
      <c r="J1764" s="36"/>
      <c r="K1764" s="36"/>
      <c r="L1764" s="36"/>
    </row>
    <row r="1765" spans="1:12" ht="15" customHeight="1" x14ac:dyDescent="0.2"/>
    <row r="1766" spans="1:12" x14ac:dyDescent="0.2">
      <c r="C1766" s="2" t="s">
        <v>32</v>
      </c>
      <c r="D1766" s="2"/>
      <c r="E1766" s="2"/>
      <c r="F1766" s="2"/>
      <c r="G1766" s="2"/>
      <c r="H1766" s="2"/>
      <c r="I1766" s="2"/>
      <c r="J1766" s="2"/>
      <c r="K1766" s="2"/>
      <c r="L1766" s="2"/>
    </row>
    <row r="1767" spans="1:12" x14ac:dyDescent="0.2">
      <c r="D1767" s="2"/>
      <c r="E1767" s="2"/>
      <c r="F1767" s="2"/>
      <c r="G1767" s="2"/>
      <c r="H1767" s="2"/>
      <c r="J1767" s="2"/>
      <c r="K1767" s="2"/>
    </row>
    <row r="1768" spans="1:12" x14ac:dyDescent="0.2">
      <c r="C1768" s="2"/>
      <c r="I1768" s="2"/>
    </row>
    <row r="1770" spans="1:12" x14ac:dyDescent="0.2">
      <c r="K1770" s="39"/>
    </row>
    <row r="1771" spans="1:12" x14ac:dyDescent="0.2">
      <c r="K1771" s="39"/>
    </row>
    <row r="1774" spans="1:12" x14ac:dyDescent="0.2">
      <c r="C1774" s="20" t="s">
        <v>0</v>
      </c>
      <c r="D1774" s="20"/>
      <c r="E1774" s="5"/>
      <c r="F1774" s="6"/>
      <c r="H1774" s="5" t="s">
        <v>1</v>
      </c>
      <c r="I1774" s="4"/>
    </row>
    <row r="1775" spans="1:12" ht="20.25" customHeight="1" x14ac:dyDescent="0.2"/>
    <row r="1776" spans="1:12" ht="14.25" customHeight="1" x14ac:dyDescent="0.2">
      <c r="B1776" s="5" t="s">
        <v>2</v>
      </c>
      <c r="C1776" s="34" t="s">
        <v>3</v>
      </c>
      <c r="D1776" s="34"/>
      <c r="E1776" s="5"/>
      <c r="F1776" s="5" t="s">
        <v>4</v>
      </c>
      <c r="G1776" s="5"/>
      <c r="H1776" s="8" t="s">
        <v>5</v>
      </c>
      <c r="J1776" s="7" t="s">
        <v>6</v>
      </c>
      <c r="K1776" s="15"/>
    </row>
    <row r="1777" spans="2:12" x14ac:dyDescent="0.2">
      <c r="B1777" s="5" t="s">
        <v>7</v>
      </c>
      <c r="C1777" s="23" t="s">
        <v>8</v>
      </c>
      <c r="D1777" s="23"/>
      <c r="E1777" s="7" t="s">
        <v>9</v>
      </c>
      <c r="F1777" s="5"/>
      <c r="G1777" s="5"/>
      <c r="H1777" s="5"/>
      <c r="I1777" s="5"/>
      <c r="J1777" s="7" t="s">
        <v>10</v>
      </c>
      <c r="K1777" s="15"/>
      <c r="L1777" s="5"/>
    </row>
    <row r="1778" spans="2:12" x14ac:dyDescent="0.2">
      <c r="B1778" s="28" t="s">
        <v>33</v>
      </c>
      <c r="C1778" s="28"/>
      <c r="D1778" s="6" t="s">
        <v>11</v>
      </c>
      <c r="E1778" s="7" t="s">
        <v>12</v>
      </c>
      <c r="F1778" s="8" t="s">
        <v>13</v>
      </c>
      <c r="G1778" s="7" t="s">
        <v>14</v>
      </c>
      <c r="H1778" s="9" t="s">
        <v>15</v>
      </c>
      <c r="I1778" s="5"/>
      <c r="J1778" s="5"/>
      <c r="K1778" s="5"/>
      <c r="L1778" s="5"/>
    </row>
    <row r="1779" spans="2:12" ht="14.25" customHeight="1" x14ac:dyDescent="0.2">
      <c r="B1779" s="5" t="s">
        <v>16</v>
      </c>
      <c r="C1779" s="27" t="s">
        <v>17</v>
      </c>
      <c r="D1779" s="27"/>
      <c r="E1779" s="27"/>
      <c r="F1779" s="27"/>
      <c r="G1779" s="27"/>
      <c r="H1779" s="5"/>
      <c r="I1779" s="5"/>
      <c r="J1779" s="5"/>
      <c r="K1779" s="5"/>
      <c r="L1779" s="5"/>
    </row>
    <row r="1780" spans="2:12" x14ac:dyDescent="0.2">
      <c r="B1780" s="5"/>
      <c r="C1780" s="27" t="s">
        <v>18</v>
      </c>
      <c r="D1780" s="27"/>
      <c r="E1780" s="27"/>
      <c r="F1780" s="27"/>
      <c r="G1780" s="27"/>
      <c r="H1780" s="5"/>
      <c r="I1780" s="5"/>
      <c r="J1780" s="5"/>
      <c r="K1780" s="5"/>
      <c r="L1780" s="5"/>
    </row>
    <row r="1781" spans="2:12" ht="9" customHeight="1" x14ac:dyDescent="0.2">
      <c r="B1781" s="5" t="s">
        <v>19</v>
      </c>
      <c r="C1781" s="5"/>
      <c r="D1781" s="5"/>
      <c r="E1781" s="5"/>
      <c r="F1781" s="5"/>
      <c r="G1781" s="5"/>
      <c r="H1781" s="5"/>
      <c r="I1781" s="5"/>
      <c r="J1781" s="5"/>
      <c r="K1781" s="5"/>
      <c r="L1781" s="5"/>
    </row>
    <row r="1782" spans="2:12" x14ac:dyDescent="0.2">
      <c r="B1782" s="29" t="s">
        <v>20</v>
      </c>
      <c r="C1782" s="29"/>
      <c r="D1782" s="29"/>
      <c r="E1782" s="29"/>
      <c r="F1782" s="29"/>
      <c r="G1782" s="29"/>
      <c r="H1782" s="10" t="s">
        <v>21</v>
      </c>
      <c r="I1782" s="30" t="s">
        <v>22</v>
      </c>
      <c r="J1782" s="31"/>
      <c r="K1782" s="10" t="s">
        <v>23</v>
      </c>
      <c r="L1782" s="12"/>
    </row>
    <row r="1783" spans="2:12" ht="14.25" customHeight="1" x14ac:dyDescent="0.2">
      <c r="B1783" s="32"/>
      <c r="C1783" s="32"/>
      <c r="D1783" s="32"/>
      <c r="E1783" s="32"/>
      <c r="F1783" s="32"/>
      <c r="G1783" s="32"/>
      <c r="H1783" s="1"/>
      <c r="I1783" s="33"/>
      <c r="J1783" s="33"/>
      <c r="K1783" s="18"/>
      <c r="L1783" s="11"/>
    </row>
    <row r="1784" spans="2:12" x14ac:dyDescent="0.2">
      <c r="B1784" s="22"/>
      <c r="C1784" s="22"/>
      <c r="D1784" s="22"/>
      <c r="E1784" s="22"/>
      <c r="F1784" s="22"/>
      <c r="G1784" s="22"/>
      <c r="H1784" s="22"/>
      <c r="I1784" s="22"/>
      <c r="J1784" s="22"/>
      <c r="K1784" s="22"/>
      <c r="L1784" s="11"/>
    </row>
    <row r="1785" spans="2:12" x14ac:dyDescent="0.2">
      <c r="B1785" s="22"/>
      <c r="C1785" s="22"/>
      <c r="D1785" s="22"/>
      <c r="E1785" s="22"/>
      <c r="F1785" s="22"/>
      <c r="G1785" s="22"/>
      <c r="H1785" s="1"/>
      <c r="I1785" s="25"/>
      <c r="J1785" s="26"/>
      <c r="K1785" s="14"/>
      <c r="L1785" s="11"/>
    </row>
    <row r="1786" spans="2:12" x14ac:dyDescent="0.2">
      <c r="B1786" s="22"/>
      <c r="C1786" s="22"/>
      <c r="D1786" s="22"/>
      <c r="E1786" s="22"/>
      <c r="F1786" s="22"/>
      <c r="G1786" s="22"/>
      <c r="H1786" s="22"/>
      <c r="I1786" s="22"/>
      <c r="J1786" s="22"/>
      <c r="K1786" s="22"/>
      <c r="L1786" s="11"/>
    </row>
    <row r="1787" spans="2:12" x14ac:dyDescent="0.2">
      <c r="B1787" s="22"/>
      <c r="C1787" s="22"/>
      <c r="D1787" s="22"/>
      <c r="E1787" s="22"/>
      <c r="F1787" s="22"/>
      <c r="G1787" s="22"/>
      <c r="H1787" s="1"/>
      <c r="I1787" s="25"/>
      <c r="J1787" s="26"/>
      <c r="K1787" s="14"/>
      <c r="L1787" s="11"/>
    </row>
    <row r="1788" spans="2:12" x14ac:dyDescent="0.2">
      <c r="B1788" s="22"/>
      <c r="C1788" s="22"/>
      <c r="D1788" s="22"/>
      <c r="E1788" s="22"/>
      <c r="F1788" s="22"/>
      <c r="G1788" s="22"/>
      <c r="H1788" s="22"/>
      <c r="I1788" s="22"/>
      <c r="J1788" s="22"/>
      <c r="K1788" s="22"/>
      <c r="L1788" s="11"/>
    </row>
    <row r="1789" spans="2:12" ht="14.25" customHeight="1" x14ac:dyDescent="0.2">
      <c r="B1789" s="24"/>
      <c r="C1789" s="24"/>
      <c r="D1789" s="24"/>
      <c r="E1789" s="24"/>
      <c r="F1789" s="24"/>
      <c r="G1789" s="24"/>
      <c r="H1789" s="1"/>
      <c r="I1789" s="25"/>
      <c r="J1789" s="26"/>
      <c r="K1789" s="14"/>
      <c r="L1789" s="11"/>
    </row>
    <row r="1790" spans="2:12" x14ac:dyDescent="0.2">
      <c r="B1790" s="22"/>
      <c r="C1790" s="22"/>
      <c r="D1790" s="22"/>
      <c r="E1790" s="22"/>
      <c r="F1790" s="22"/>
      <c r="G1790" s="22"/>
      <c r="H1790" s="22"/>
      <c r="I1790" s="22"/>
      <c r="J1790" s="22"/>
      <c r="K1790" s="22"/>
      <c r="L1790" s="11"/>
    </row>
    <row r="1791" spans="2:12" x14ac:dyDescent="0.2">
      <c r="B1791" s="22"/>
      <c r="C1791" s="22"/>
      <c r="D1791" s="22"/>
      <c r="E1791" s="22"/>
      <c r="F1791" s="22"/>
      <c r="G1791" s="22"/>
      <c r="H1791" s="1"/>
      <c r="I1791" s="25"/>
      <c r="J1791" s="26"/>
      <c r="K1791" s="14"/>
      <c r="L1791" s="11"/>
    </row>
    <row r="1792" spans="2:12" x14ac:dyDescent="0.2">
      <c r="B1792" s="22"/>
      <c r="C1792" s="22"/>
      <c r="D1792" s="22"/>
      <c r="E1792" s="22"/>
      <c r="F1792" s="22"/>
      <c r="G1792" s="22"/>
      <c r="H1792" s="22"/>
      <c r="I1792" s="22"/>
      <c r="J1792" s="22"/>
      <c r="K1792" s="22"/>
      <c r="L1792" s="11"/>
    </row>
    <row r="1793" spans="2:12" x14ac:dyDescent="0.2">
      <c r="B1793" s="22"/>
      <c r="C1793" s="22"/>
      <c r="D1793" s="22"/>
      <c r="E1793" s="22"/>
      <c r="F1793" s="22"/>
      <c r="G1793" s="22"/>
      <c r="H1793" s="1"/>
      <c r="I1793" s="25"/>
      <c r="J1793" s="26"/>
      <c r="K1793" s="14"/>
      <c r="L1793" s="11"/>
    </row>
    <row r="1794" spans="2:12" x14ac:dyDescent="0.2">
      <c r="B1794" s="22"/>
      <c r="C1794" s="22"/>
      <c r="D1794" s="22"/>
      <c r="E1794" s="22"/>
      <c r="F1794" s="22"/>
      <c r="G1794" s="22"/>
      <c r="H1794" s="22"/>
      <c r="I1794" s="22"/>
      <c r="J1794" s="22"/>
      <c r="K1794" s="22"/>
      <c r="L1794" s="11"/>
    </row>
    <row r="1795" spans="2:12" x14ac:dyDescent="0.2">
      <c r="B1795" s="22"/>
      <c r="C1795" s="22"/>
      <c r="D1795" s="22"/>
      <c r="E1795" s="22"/>
      <c r="F1795" s="22"/>
      <c r="G1795" s="22"/>
      <c r="H1795" s="1"/>
      <c r="I1795" s="25"/>
      <c r="J1795" s="26"/>
      <c r="K1795" s="14"/>
      <c r="L1795" s="11"/>
    </row>
    <row r="1796" spans="2:12" x14ac:dyDescent="0.2">
      <c r="B1796" s="22"/>
      <c r="C1796" s="22"/>
      <c r="D1796" s="22"/>
      <c r="E1796" s="22"/>
      <c r="F1796" s="22"/>
      <c r="G1796" s="22"/>
      <c r="H1796" s="22"/>
      <c r="I1796" s="22"/>
      <c r="J1796" s="22"/>
      <c r="K1796" s="22"/>
      <c r="L1796" s="11"/>
    </row>
    <row r="1797" spans="2:12" ht="14.25" customHeight="1" x14ac:dyDescent="0.2">
      <c r="B1797" s="24"/>
      <c r="C1797" s="24"/>
      <c r="D1797" s="24"/>
      <c r="E1797" s="24"/>
      <c r="F1797" s="24"/>
      <c r="G1797" s="24"/>
      <c r="H1797" s="1"/>
      <c r="I1797" s="25"/>
      <c r="J1797" s="26"/>
      <c r="K1797" s="14"/>
      <c r="L1797" s="11"/>
    </row>
    <row r="1798" spans="2:12" x14ac:dyDescent="0.2">
      <c r="B1798" s="22"/>
      <c r="C1798" s="22"/>
      <c r="D1798" s="22"/>
      <c r="E1798" s="22"/>
      <c r="F1798" s="22"/>
      <c r="G1798" s="22"/>
      <c r="H1798" s="22"/>
      <c r="I1798" s="22"/>
      <c r="J1798" s="22"/>
      <c r="K1798" s="22"/>
    </row>
    <row r="1799" spans="2:12" ht="14.25" customHeight="1" x14ac:dyDescent="0.2">
      <c r="B1799" s="24"/>
      <c r="C1799" s="24"/>
      <c r="D1799" s="24"/>
      <c r="E1799" s="24"/>
      <c r="F1799" s="24"/>
      <c r="G1799" s="24"/>
      <c r="H1799" s="1"/>
      <c r="I1799" s="37"/>
      <c r="J1799" s="26"/>
      <c r="K1799" s="14"/>
    </row>
    <row r="1800" spans="2:12" x14ac:dyDescent="0.2">
      <c r="B1800" s="22"/>
      <c r="C1800" s="22"/>
      <c r="D1800" s="22"/>
      <c r="E1800" s="22"/>
      <c r="F1800" s="22"/>
      <c r="G1800" s="22"/>
      <c r="H1800" s="22"/>
      <c r="I1800" s="22"/>
      <c r="J1800" s="22"/>
      <c r="K1800" s="22"/>
    </row>
    <row r="1801" spans="2:12" x14ac:dyDescent="0.2">
      <c r="B1801" s="22"/>
      <c r="C1801" s="22"/>
      <c r="D1801" s="22"/>
      <c r="E1801" s="22"/>
      <c r="F1801" s="22"/>
      <c r="G1801" s="22"/>
      <c r="H1801" s="1"/>
      <c r="I1801" s="21"/>
      <c r="J1801" s="21"/>
      <c r="K1801" s="11"/>
    </row>
    <row r="1802" spans="2:12" x14ac:dyDescent="0.2">
      <c r="B1802" s="22"/>
      <c r="C1802" s="22"/>
      <c r="D1802" s="22"/>
      <c r="E1802" s="22"/>
      <c r="F1802" s="22"/>
      <c r="G1802" s="22"/>
      <c r="H1802" s="1"/>
      <c r="I1802" s="21"/>
      <c r="J1802" s="21"/>
      <c r="K1802" s="11"/>
    </row>
    <row r="1803" spans="2:12" x14ac:dyDescent="0.2">
      <c r="B1803" s="5" t="s">
        <v>24</v>
      </c>
      <c r="C1803" s="5"/>
      <c r="D1803" s="5"/>
      <c r="E1803" s="5"/>
      <c r="F1803" s="7" t="s">
        <v>25</v>
      </c>
      <c r="G1803" s="5"/>
      <c r="H1803" s="5"/>
      <c r="K1803" s="16">
        <f>SUM(K1783,K1785,K1787,K1789,K1791,K1793,K1795,K1797,K1799)</f>
        <v>0</v>
      </c>
    </row>
    <row r="1804" spans="2:12" x14ac:dyDescent="0.2">
      <c r="B1804" s="5"/>
      <c r="C1804" s="5"/>
      <c r="D1804" s="5"/>
      <c r="E1804" s="5"/>
      <c r="F1804" s="7" t="s">
        <v>26</v>
      </c>
      <c r="G1804" s="5"/>
      <c r="H1804" s="5"/>
      <c r="K1804" s="16">
        <v>0</v>
      </c>
    </row>
    <row r="1805" spans="2:12" x14ac:dyDescent="0.2">
      <c r="B1805" s="5"/>
      <c r="C1805" s="5"/>
      <c r="D1805" s="5"/>
      <c r="E1805" s="5"/>
      <c r="F1805" s="7" t="s">
        <v>27</v>
      </c>
      <c r="G1805" s="5"/>
      <c r="H1805" s="5"/>
      <c r="K1805" s="16">
        <f>K1803+K1804</f>
        <v>0</v>
      </c>
    </row>
    <row r="1806" spans="2:12" x14ac:dyDescent="0.2">
      <c r="B1806" s="28" t="s">
        <v>28</v>
      </c>
      <c r="C1806" s="28"/>
      <c r="D1806" s="28"/>
      <c r="E1806" s="5"/>
      <c r="F1806" s="7" t="s">
        <v>29</v>
      </c>
      <c r="G1806" s="5"/>
      <c r="H1806" s="13">
        <v>0.16</v>
      </c>
      <c r="K1806" s="17">
        <f>K1805*0.16</f>
        <v>0</v>
      </c>
    </row>
    <row r="1807" spans="2:12" x14ac:dyDescent="0.2">
      <c r="B1807" s="5"/>
      <c r="C1807" s="5"/>
      <c r="D1807" s="5"/>
      <c r="E1807" s="5"/>
      <c r="F1807" s="7" t="s">
        <v>30</v>
      </c>
      <c r="G1807" s="5"/>
      <c r="H1807" s="5"/>
      <c r="K1807" s="17">
        <f>K1805*1.16</f>
        <v>0</v>
      </c>
    </row>
    <row r="1811" spans="1:12" ht="13.5" customHeight="1" x14ac:dyDescent="0.2">
      <c r="A1811" s="35" t="s">
        <v>34</v>
      </c>
      <c r="B1811" s="35"/>
      <c r="C1811" s="35"/>
      <c r="D1811" s="35"/>
      <c r="E1811" s="35"/>
      <c r="F1811" s="35"/>
      <c r="G1811" s="35"/>
      <c r="H1811" s="35"/>
      <c r="I1811" s="35"/>
      <c r="J1811" s="35"/>
      <c r="K1811" s="35"/>
      <c r="L1811" s="35"/>
    </row>
    <row r="1812" spans="1:12" x14ac:dyDescent="0.2">
      <c r="A1812" s="35"/>
      <c r="B1812" s="35"/>
      <c r="C1812" s="35"/>
      <c r="D1812" s="35"/>
      <c r="E1812" s="35"/>
      <c r="F1812" s="35"/>
      <c r="G1812" s="35"/>
      <c r="H1812" s="35"/>
      <c r="I1812" s="35"/>
      <c r="J1812" s="35"/>
      <c r="K1812" s="35"/>
      <c r="L1812" s="35"/>
    </row>
    <row r="1813" spans="1:12" ht="15" customHeight="1" x14ac:dyDescent="0.2">
      <c r="A1813" s="36" t="s">
        <v>31</v>
      </c>
      <c r="B1813" s="36"/>
      <c r="C1813" s="36"/>
      <c r="D1813" s="36"/>
      <c r="E1813" s="36"/>
      <c r="F1813" s="36"/>
      <c r="G1813" s="36"/>
      <c r="H1813" s="36"/>
      <c r="I1813" s="36"/>
      <c r="J1813" s="36"/>
      <c r="K1813" s="36"/>
      <c r="L1813" s="36"/>
    </row>
    <row r="1814" spans="1:12" ht="15" customHeight="1" x14ac:dyDescent="0.2"/>
    <row r="1815" spans="1:12" x14ac:dyDescent="0.2">
      <c r="C1815" s="2" t="s">
        <v>32</v>
      </c>
      <c r="D1815" s="2"/>
      <c r="E1815" s="2"/>
      <c r="F1815" s="2"/>
      <c r="G1815" s="2"/>
      <c r="H1815" s="2"/>
      <c r="I1815" s="2"/>
      <c r="J1815" s="2"/>
      <c r="K1815" s="2"/>
      <c r="L1815" s="2"/>
    </row>
    <row r="1816" spans="1:12" x14ac:dyDescent="0.2">
      <c r="D1816" s="2"/>
      <c r="E1816" s="2"/>
      <c r="F1816" s="2"/>
      <c r="G1816" s="2"/>
      <c r="H1816" s="2"/>
      <c r="J1816" s="2"/>
      <c r="K1816" s="2"/>
    </row>
    <row r="1817" spans="1:12" x14ac:dyDescent="0.2">
      <c r="C1817" s="2"/>
      <c r="I1817" s="2"/>
    </row>
    <row r="1819" spans="1:12" x14ac:dyDescent="0.2">
      <c r="K1819" s="39"/>
    </row>
    <row r="1820" spans="1:12" x14ac:dyDescent="0.2">
      <c r="K1820" s="39"/>
    </row>
    <row r="1823" spans="1:12" x14ac:dyDescent="0.2">
      <c r="C1823" s="20" t="s">
        <v>0</v>
      </c>
      <c r="D1823" s="20"/>
      <c r="E1823" s="5"/>
      <c r="F1823" s="6"/>
      <c r="H1823" s="5" t="s">
        <v>1</v>
      </c>
      <c r="I1823" s="4"/>
    </row>
    <row r="1824" spans="1:12" ht="20.25" customHeight="1" x14ac:dyDescent="0.2"/>
    <row r="1825" spans="2:12" ht="14.25" customHeight="1" x14ac:dyDescent="0.2">
      <c r="B1825" s="5" t="s">
        <v>2</v>
      </c>
      <c r="C1825" s="34" t="s">
        <v>3</v>
      </c>
      <c r="D1825" s="34"/>
      <c r="E1825" s="5"/>
      <c r="F1825" s="5" t="s">
        <v>4</v>
      </c>
      <c r="G1825" s="5"/>
      <c r="H1825" s="8" t="s">
        <v>5</v>
      </c>
      <c r="J1825" s="7" t="s">
        <v>6</v>
      </c>
      <c r="K1825" s="15"/>
    </row>
    <row r="1826" spans="2:12" x14ac:dyDescent="0.2">
      <c r="B1826" s="5" t="s">
        <v>7</v>
      </c>
      <c r="C1826" s="23" t="s">
        <v>8</v>
      </c>
      <c r="D1826" s="23"/>
      <c r="E1826" s="7" t="s">
        <v>9</v>
      </c>
      <c r="F1826" s="5"/>
      <c r="G1826" s="5"/>
      <c r="H1826" s="5"/>
      <c r="I1826" s="5"/>
      <c r="J1826" s="7" t="s">
        <v>10</v>
      </c>
      <c r="K1826" s="15"/>
      <c r="L1826" s="5"/>
    </row>
    <row r="1827" spans="2:12" x14ac:dyDescent="0.2">
      <c r="B1827" s="28" t="s">
        <v>33</v>
      </c>
      <c r="C1827" s="28"/>
      <c r="D1827" s="6" t="s">
        <v>11</v>
      </c>
      <c r="E1827" s="7" t="s">
        <v>12</v>
      </c>
      <c r="F1827" s="8" t="s">
        <v>13</v>
      </c>
      <c r="G1827" s="7" t="s">
        <v>14</v>
      </c>
      <c r="H1827" s="9" t="s">
        <v>15</v>
      </c>
      <c r="I1827" s="5"/>
      <c r="J1827" s="5"/>
      <c r="K1827" s="5"/>
      <c r="L1827" s="5"/>
    </row>
    <row r="1828" spans="2:12" ht="14.25" customHeight="1" x14ac:dyDescent="0.2">
      <c r="B1828" s="5" t="s">
        <v>16</v>
      </c>
      <c r="C1828" s="27" t="s">
        <v>17</v>
      </c>
      <c r="D1828" s="27"/>
      <c r="E1828" s="27"/>
      <c r="F1828" s="27"/>
      <c r="G1828" s="27"/>
      <c r="H1828" s="5"/>
      <c r="I1828" s="5"/>
      <c r="J1828" s="5"/>
      <c r="K1828" s="5"/>
      <c r="L1828" s="5"/>
    </row>
    <row r="1829" spans="2:12" x14ac:dyDescent="0.2">
      <c r="B1829" s="5"/>
      <c r="C1829" s="27" t="s">
        <v>18</v>
      </c>
      <c r="D1829" s="27"/>
      <c r="E1829" s="27"/>
      <c r="F1829" s="27"/>
      <c r="G1829" s="27"/>
      <c r="H1829" s="5"/>
      <c r="I1829" s="5"/>
      <c r="J1829" s="5"/>
      <c r="K1829" s="5"/>
      <c r="L1829" s="5"/>
    </row>
    <row r="1830" spans="2:12" ht="9" customHeight="1" x14ac:dyDescent="0.2">
      <c r="B1830" s="5" t="s">
        <v>19</v>
      </c>
      <c r="C1830" s="5"/>
      <c r="D1830" s="5"/>
      <c r="E1830" s="5"/>
      <c r="F1830" s="5"/>
      <c r="G1830" s="5"/>
      <c r="H1830" s="5"/>
      <c r="I1830" s="5"/>
      <c r="J1830" s="5"/>
      <c r="K1830" s="5"/>
      <c r="L1830" s="5"/>
    </row>
    <row r="1831" spans="2:12" x14ac:dyDescent="0.2">
      <c r="B1831" s="29" t="s">
        <v>20</v>
      </c>
      <c r="C1831" s="29"/>
      <c r="D1831" s="29"/>
      <c r="E1831" s="29"/>
      <c r="F1831" s="29"/>
      <c r="G1831" s="29"/>
      <c r="H1831" s="10" t="s">
        <v>21</v>
      </c>
      <c r="I1831" s="30" t="s">
        <v>22</v>
      </c>
      <c r="J1831" s="31"/>
      <c r="K1831" s="10" t="s">
        <v>23</v>
      </c>
      <c r="L1831" s="12"/>
    </row>
    <row r="1832" spans="2:12" ht="14.25" customHeight="1" x14ac:dyDescent="0.2">
      <c r="B1832" s="32"/>
      <c r="C1832" s="32"/>
      <c r="D1832" s="32"/>
      <c r="E1832" s="32"/>
      <c r="F1832" s="32"/>
      <c r="G1832" s="32"/>
      <c r="H1832" s="1"/>
      <c r="I1832" s="33"/>
      <c r="J1832" s="33"/>
      <c r="K1832" s="18"/>
      <c r="L1832" s="11"/>
    </row>
    <row r="1833" spans="2:12" x14ac:dyDescent="0.2">
      <c r="B1833" s="22"/>
      <c r="C1833" s="22"/>
      <c r="D1833" s="22"/>
      <c r="E1833" s="22"/>
      <c r="F1833" s="22"/>
      <c r="G1833" s="22"/>
      <c r="H1833" s="22"/>
      <c r="I1833" s="22"/>
      <c r="J1833" s="22"/>
      <c r="K1833" s="22"/>
      <c r="L1833" s="11"/>
    </row>
    <row r="1834" spans="2:12" x14ac:dyDescent="0.2">
      <c r="B1834" s="22"/>
      <c r="C1834" s="22"/>
      <c r="D1834" s="22"/>
      <c r="E1834" s="22"/>
      <c r="F1834" s="22"/>
      <c r="G1834" s="22"/>
      <c r="H1834" s="1"/>
      <c r="I1834" s="25"/>
      <c r="J1834" s="26"/>
      <c r="K1834" s="14"/>
      <c r="L1834" s="11"/>
    </row>
    <row r="1835" spans="2:12" x14ac:dyDescent="0.2">
      <c r="B1835" s="22"/>
      <c r="C1835" s="22"/>
      <c r="D1835" s="22"/>
      <c r="E1835" s="22"/>
      <c r="F1835" s="22"/>
      <c r="G1835" s="22"/>
      <c r="H1835" s="22"/>
      <c r="I1835" s="22"/>
      <c r="J1835" s="22"/>
      <c r="K1835" s="22"/>
      <c r="L1835" s="11"/>
    </row>
    <row r="1836" spans="2:12" x14ac:dyDescent="0.2">
      <c r="B1836" s="22"/>
      <c r="C1836" s="22"/>
      <c r="D1836" s="22"/>
      <c r="E1836" s="22"/>
      <c r="F1836" s="22"/>
      <c r="G1836" s="22"/>
      <c r="H1836" s="1"/>
      <c r="I1836" s="25"/>
      <c r="J1836" s="26"/>
      <c r="K1836" s="14"/>
      <c r="L1836" s="11"/>
    </row>
    <row r="1837" spans="2:12" x14ac:dyDescent="0.2">
      <c r="B1837" s="22"/>
      <c r="C1837" s="22"/>
      <c r="D1837" s="22"/>
      <c r="E1837" s="22"/>
      <c r="F1837" s="22"/>
      <c r="G1837" s="22"/>
      <c r="H1837" s="22"/>
      <c r="I1837" s="22"/>
      <c r="J1837" s="22"/>
      <c r="K1837" s="22"/>
      <c r="L1837" s="11"/>
    </row>
    <row r="1838" spans="2:12" ht="14.25" customHeight="1" x14ac:dyDescent="0.2">
      <c r="B1838" s="24"/>
      <c r="C1838" s="24"/>
      <c r="D1838" s="24"/>
      <c r="E1838" s="24"/>
      <c r="F1838" s="24"/>
      <c r="G1838" s="24"/>
      <c r="H1838" s="1"/>
      <c r="I1838" s="25"/>
      <c r="J1838" s="26"/>
      <c r="K1838" s="14"/>
      <c r="L1838" s="11"/>
    </row>
    <row r="1839" spans="2:12" x14ac:dyDescent="0.2">
      <c r="B1839" s="22"/>
      <c r="C1839" s="22"/>
      <c r="D1839" s="22"/>
      <c r="E1839" s="22"/>
      <c r="F1839" s="22"/>
      <c r="G1839" s="22"/>
      <c r="H1839" s="22"/>
      <c r="I1839" s="22"/>
      <c r="J1839" s="22"/>
      <c r="K1839" s="22"/>
      <c r="L1839" s="11"/>
    </row>
    <row r="1840" spans="2:12" x14ac:dyDescent="0.2">
      <c r="B1840" s="22"/>
      <c r="C1840" s="22"/>
      <c r="D1840" s="22"/>
      <c r="E1840" s="22"/>
      <c r="F1840" s="22"/>
      <c r="G1840" s="22"/>
      <c r="H1840" s="1"/>
      <c r="I1840" s="25"/>
      <c r="J1840" s="26"/>
      <c r="K1840" s="14"/>
      <c r="L1840" s="11"/>
    </row>
    <row r="1841" spans="2:12" x14ac:dyDescent="0.2">
      <c r="B1841" s="22"/>
      <c r="C1841" s="22"/>
      <c r="D1841" s="22"/>
      <c r="E1841" s="22"/>
      <c r="F1841" s="22"/>
      <c r="G1841" s="22"/>
      <c r="H1841" s="22"/>
      <c r="I1841" s="22"/>
      <c r="J1841" s="22"/>
      <c r="K1841" s="22"/>
      <c r="L1841" s="11"/>
    </row>
    <row r="1842" spans="2:12" x14ac:dyDescent="0.2">
      <c r="B1842" s="22"/>
      <c r="C1842" s="22"/>
      <c r="D1842" s="22"/>
      <c r="E1842" s="22"/>
      <c r="F1842" s="22"/>
      <c r="G1842" s="22"/>
      <c r="H1842" s="1"/>
      <c r="I1842" s="25"/>
      <c r="J1842" s="26"/>
      <c r="K1842" s="14"/>
      <c r="L1842" s="11"/>
    </row>
    <row r="1843" spans="2:12" x14ac:dyDescent="0.2">
      <c r="B1843" s="22"/>
      <c r="C1843" s="22"/>
      <c r="D1843" s="22"/>
      <c r="E1843" s="22"/>
      <c r="F1843" s="22"/>
      <c r="G1843" s="22"/>
      <c r="H1843" s="22"/>
      <c r="I1843" s="22"/>
      <c r="J1843" s="22"/>
      <c r="K1843" s="22"/>
      <c r="L1843" s="11"/>
    </row>
    <row r="1844" spans="2:12" x14ac:dyDescent="0.2">
      <c r="B1844" s="22"/>
      <c r="C1844" s="22"/>
      <c r="D1844" s="22"/>
      <c r="E1844" s="22"/>
      <c r="F1844" s="22"/>
      <c r="G1844" s="22"/>
      <c r="H1844" s="1"/>
      <c r="I1844" s="25"/>
      <c r="J1844" s="26"/>
      <c r="K1844" s="14"/>
      <c r="L1844" s="11"/>
    </row>
    <row r="1845" spans="2:12" x14ac:dyDescent="0.2">
      <c r="B1845" s="22"/>
      <c r="C1845" s="22"/>
      <c r="D1845" s="22"/>
      <c r="E1845" s="22"/>
      <c r="F1845" s="22"/>
      <c r="G1845" s="22"/>
      <c r="H1845" s="22"/>
      <c r="I1845" s="22"/>
      <c r="J1845" s="22"/>
      <c r="K1845" s="22"/>
      <c r="L1845" s="11"/>
    </row>
    <row r="1846" spans="2:12" ht="14.25" customHeight="1" x14ac:dyDescent="0.2">
      <c r="B1846" s="24"/>
      <c r="C1846" s="24"/>
      <c r="D1846" s="24"/>
      <c r="E1846" s="24"/>
      <c r="F1846" s="24"/>
      <c r="G1846" s="24"/>
      <c r="H1846" s="1"/>
      <c r="I1846" s="25"/>
      <c r="J1846" s="26"/>
      <c r="K1846" s="14"/>
      <c r="L1846" s="11"/>
    </row>
    <row r="1847" spans="2:12" x14ac:dyDescent="0.2">
      <c r="B1847" s="22"/>
      <c r="C1847" s="22"/>
      <c r="D1847" s="22"/>
      <c r="E1847" s="22"/>
      <c r="F1847" s="22"/>
      <c r="G1847" s="22"/>
      <c r="H1847" s="22"/>
      <c r="I1847" s="22"/>
      <c r="J1847" s="22"/>
      <c r="K1847" s="22"/>
    </row>
    <row r="1848" spans="2:12" ht="14.25" customHeight="1" x14ac:dyDescent="0.2">
      <c r="B1848" s="24"/>
      <c r="C1848" s="24"/>
      <c r="D1848" s="24"/>
      <c r="E1848" s="24"/>
      <c r="F1848" s="24"/>
      <c r="G1848" s="24"/>
      <c r="H1848" s="1"/>
      <c r="I1848" s="37"/>
      <c r="J1848" s="26"/>
      <c r="K1848" s="14"/>
    </row>
    <row r="1849" spans="2:12" x14ac:dyDescent="0.2">
      <c r="B1849" s="22"/>
      <c r="C1849" s="22"/>
      <c r="D1849" s="22"/>
      <c r="E1849" s="22"/>
      <c r="F1849" s="22"/>
      <c r="G1849" s="22"/>
      <c r="H1849" s="22"/>
      <c r="I1849" s="22"/>
      <c r="J1849" s="22"/>
      <c r="K1849" s="22"/>
    </row>
    <row r="1850" spans="2:12" x14ac:dyDescent="0.2">
      <c r="B1850" s="22"/>
      <c r="C1850" s="22"/>
      <c r="D1850" s="22"/>
      <c r="E1850" s="22"/>
      <c r="F1850" s="22"/>
      <c r="G1850" s="22"/>
      <c r="H1850" s="1"/>
      <c r="I1850" s="21"/>
      <c r="J1850" s="21"/>
      <c r="K1850" s="11"/>
    </row>
    <row r="1851" spans="2:12" x14ac:dyDescent="0.2">
      <c r="B1851" s="22"/>
      <c r="C1851" s="22"/>
      <c r="D1851" s="22"/>
      <c r="E1851" s="22"/>
      <c r="F1851" s="22"/>
      <c r="G1851" s="22"/>
      <c r="H1851" s="1"/>
      <c r="I1851" s="21"/>
      <c r="J1851" s="21"/>
      <c r="K1851" s="11"/>
    </row>
    <row r="1852" spans="2:12" x14ac:dyDescent="0.2">
      <c r="B1852" s="5" t="s">
        <v>24</v>
      </c>
      <c r="C1852" s="5"/>
      <c r="D1852" s="5"/>
      <c r="E1852" s="5"/>
      <c r="F1852" s="7" t="s">
        <v>25</v>
      </c>
      <c r="G1852" s="5"/>
      <c r="H1852" s="5"/>
      <c r="K1852" s="16">
        <f>SUM(K1832,K1834,K1836,K1838,K1840,K1842,K1844,K1846,K1848)</f>
        <v>0</v>
      </c>
    </row>
    <row r="1853" spans="2:12" x14ac:dyDescent="0.2">
      <c r="B1853" s="5"/>
      <c r="C1853" s="5"/>
      <c r="D1853" s="5"/>
      <c r="E1853" s="5"/>
      <c r="F1853" s="7" t="s">
        <v>26</v>
      </c>
      <c r="G1853" s="5"/>
      <c r="H1853" s="5"/>
      <c r="K1853" s="16">
        <v>0</v>
      </c>
    </row>
    <row r="1854" spans="2:12" x14ac:dyDescent="0.2">
      <c r="B1854" s="5"/>
      <c r="C1854" s="5"/>
      <c r="D1854" s="5"/>
      <c r="E1854" s="5"/>
      <c r="F1854" s="7" t="s">
        <v>27</v>
      </c>
      <c r="G1854" s="5"/>
      <c r="H1854" s="5"/>
      <c r="K1854" s="16">
        <f>K1852+K1853</f>
        <v>0</v>
      </c>
    </row>
    <row r="1855" spans="2:12" x14ac:dyDescent="0.2">
      <c r="B1855" s="28" t="s">
        <v>28</v>
      </c>
      <c r="C1855" s="28"/>
      <c r="D1855" s="28"/>
      <c r="E1855" s="5"/>
      <c r="F1855" s="7" t="s">
        <v>29</v>
      </c>
      <c r="G1855" s="5"/>
      <c r="H1855" s="13">
        <v>0.16</v>
      </c>
      <c r="K1855" s="17">
        <f>K1854*0.16</f>
        <v>0</v>
      </c>
    </row>
    <row r="1856" spans="2:12" x14ac:dyDescent="0.2">
      <c r="B1856" s="5"/>
      <c r="C1856" s="5"/>
      <c r="D1856" s="5"/>
      <c r="E1856" s="5"/>
      <c r="F1856" s="7" t="s">
        <v>30</v>
      </c>
      <c r="G1856" s="5"/>
      <c r="H1856" s="5"/>
      <c r="K1856" s="17">
        <f>K1854*1.16</f>
        <v>0</v>
      </c>
    </row>
    <row r="1860" spans="1:15" ht="13.5" customHeight="1" x14ac:dyDescent="0.2">
      <c r="A1860" s="35" t="s">
        <v>34</v>
      </c>
      <c r="B1860" s="35"/>
      <c r="C1860" s="35"/>
      <c r="D1860" s="35"/>
      <c r="E1860" s="35"/>
      <c r="F1860" s="35"/>
      <c r="G1860" s="35"/>
      <c r="H1860" s="35"/>
      <c r="I1860" s="35"/>
      <c r="J1860" s="35"/>
      <c r="K1860" s="35"/>
      <c r="L1860" s="35"/>
    </row>
    <row r="1861" spans="1:15" x14ac:dyDescent="0.2">
      <c r="A1861" s="35"/>
      <c r="B1861" s="35"/>
      <c r="C1861" s="35"/>
      <c r="D1861" s="35"/>
      <c r="E1861" s="35"/>
      <c r="F1861" s="35"/>
      <c r="G1861" s="35"/>
      <c r="H1861" s="35"/>
      <c r="I1861" s="35"/>
      <c r="J1861" s="35"/>
      <c r="K1861" s="35"/>
      <c r="L1861" s="35"/>
    </row>
    <row r="1862" spans="1:15" ht="15" customHeight="1" x14ac:dyDescent="0.2">
      <c r="A1862" s="36" t="s">
        <v>31</v>
      </c>
      <c r="B1862" s="36"/>
      <c r="C1862" s="36"/>
      <c r="D1862" s="36"/>
      <c r="E1862" s="36"/>
      <c r="F1862" s="36"/>
      <c r="G1862" s="36"/>
      <c r="H1862" s="36"/>
      <c r="I1862" s="36"/>
      <c r="J1862" s="36"/>
      <c r="K1862" s="36"/>
      <c r="L1862" s="36"/>
    </row>
    <row r="1863" spans="1:15" ht="15" customHeight="1" x14ac:dyDescent="0.2"/>
    <row r="1864" spans="1:15" x14ac:dyDescent="0.2">
      <c r="C1864" s="2" t="s">
        <v>32</v>
      </c>
      <c r="D1864" s="2"/>
      <c r="E1864" s="2"/>
      <c r="F1864" s="2"/>
      <c r="G1864" s="2"/>
      <c r="H1864" s="2"/>
      <c r="I1864" s="2"/>
      <c r="J1864" s="2"/>
      <c r="K1864" s="2"/>
      <c r="L1864" s="2"/>
    </row>
    <row r="1865" spans="1:15" x14ac:dyDescent="0.2">
      <c r="D1865" s="2"/>
      <c r="E1865" s="2"/>
      <c r="F1865" s="2"/>
      <c r="G1865" s="2"/>
      <c r="H1865" s="2"/>
      <c r="J1865" s="2"/>
      <c r="K1865" s="2"/>
    </row>
    <row r="1866" spans="1:15" x14ac:dyDescent="0.2">
      <c r="C1866" s="2"/>
      <c r="I1866" s="2"/>
      <c r="O1866" s="3" t="s">
        <v>35</v>
      </c>
    </row>
    <row r="1868" spans="1:15" x14ac:dyDescent="0.2">
      <c r="K1868" s="39"/>
    </row>
    <row r="1869" spans="1:15" x14ac:dyDescent="0.2">
      <c r="K1869" s="39"/>
    </row>
    <row r="1872" spans="1:15" x14ac:dyDescent="0.2">
      <c r="C1872" s="20" t="s">
        <v>0</v>
      </c>
      <c r="D1872" s="20"/>
      <c r="E1872" s="5"/>
      <c r="F1872" s="6"/>
      <c r="H1872" s="5" t="s">
        <v>1</v>
      </c>
      <c r="I1872" s="4"/>
    </row>
    <row r="1873" spans="2:12" ht="20.25" customHeight="1" x14ac:dyDescent="0.2"/>
    <row r="1874" spans="2:12" ht="14.25" customHeight="1" x14ac:dyDescent="0.2">
      <c r="B1874" s="5" t="s">
        <v>2</v>
      </c>
      <c r="C1874" s="34" t="s">
        <v>3</v>
      </c>
      <c r="D1874" s="34"/>
      <c r="E1874" s="5"/>
      <c r="F1874" s="5" t="s">
        <v>4</v>
      </c>
      <c r="G1874" s="5"/>
      <c r="H1874" s="8" t="s">
        <v>5</v>
      </c>
      <c r="J1874" s="7" t="s">
        <v>6</v>
      </c>
      <c r="K1874" s="15"/>
    </row>
    <row r="1875" spans="2:12" x14ac:dyDescent="0.2">
      <c r="B1875" s="5" t="s">
        <v>7</v>
      </c>
      <c r="C1875" s="23" t="s">
        <v>8</v>
      </c>
      <c r="D1875" s="23"/>
      <c r="E1875" s="7" t="s">
        <v>9</v>
      </c>
      <c r="F1875" s="5"/>
      <c r="G1875" s="5"/>
      <c r="H1875" s="5"/>
      <c r="I1875" s="5"/>
      <c r="J1875" s="7" t="s">
        <v>10</v>
      </c>
      <c r="K1875" s="15"/>
      <c r="L1875" s="5"/>
    </row>
    <row r="1876" spans="2:12" x14ac:dyDescent="0.2">
      <c r="B1876" s="28" t="s">
        <v>33</v>
      </c>
      <c r="C1876" s="28"/>
      <c r="D1876" s="6" t="s">
        <v>11</v>
      </c>
      <c r="E1876" s="7" t="s">
        <v>12</v>
      </c>
      <c r="F1876" s="8" t="s">
        <v>13</v>
      </c>
      <c r="G1876" s="7" t="s">
        <v>14</v>
      </c>
      <c r="H1876" s="9" t="s">
        <v>15</v>
      </c>
      <c r="I1876" s="5"/>
      <c r="J1876" s="5"/>
      <c r="K1876" s="5"/>
      <c r="L1876" s="5"/>
    </row>
    <row r="1877" spans="2:12" ht="14.25" customHeight="1" x14ac:dyDescent="0.2">
      <c r="B1877" s="5" t="s">
        <v>16</v>
      </c>
      <c r="C1877" s="27" t="s">
        <v>17</v>
      </c>
      <c r="D1877" s="27"/>
      <c r="E1877" s="27"/>
      <c r="F1877" s="27"/>
      <c r="G1877" s="27"/>
      <c r="H1877" s="5"/>
      <c r="I1877" s="5"/>
      <c r="J1877" s="5"/>
      <c r="K1877" s="5"/>
      <c r="L1877" s="5"/>
    </row>
    <row r="1878" spans="2:12" x14ac:dyDescent="0.2">
      <c r="B1878" s="5"/>
      <c r="C1878" s="27" t="s">
        <v>18</v>
      </c>
      <c r="D1878" s="27"/>
      <c r="E1878" s="27"/>
      <c r="F1878" s="27"/>
      <c r="G1878" s="27"/>
      <c r="H1878" s="5"/>
      <c r="I1878" s="5"/>
      <c r="J1878" s="5"/>
      <c r="K1878" s="5"/>
      <c r="L1878" s="5"/>
    </row>
    <row r="1879" spans="2:12" ht="9" customHeight="1" x14ac:dyDescent="0.2">
      <c r="B1879" s="5" t="s">
        <v>19</v>
      </c>
      <c r="C1879" s="5"/>
      <c r="D1879" s="5"/>
      <c r="E1879" s="5"/>
      <c r="F1879" s="5"/>
      <c r="G1879" s="5"/>
      <c r="H1879" s="5"/>
      <c r="I1879" s="5"/>
      <c r="J1879" s="5"/>
      <c r="K1879" s="5"/>
      <c r="L1879" s="5"/>
    </row>
    <row r="1880" spans="2:12" x14ac:dyDescent="0.2">
      <c r="B1880" s="29" t="s">
        <v>20</v>
      </c>
      <c r="C1880" s="29"/>
      <c r="D1880" s="29"/>
      <c r="E1880" s="29"/>
      <c r="F1880" s="29"/>
      <c r="G1880" s="29"/>
      <c r="H1880" s="10" t="s">
        <v>21</v>
      </c>
      <c r="I1880" s="30" t="s">
        <v>22</v>
      </c>
      <c r="J1880" s="31"/>
      <c r="K1880" s="10" t="s">
        <v>23</v>
      </c>
      <c r="L1880" s="12"/>
    </row>
    <row r="1881" spans="2:12" ht="14.25" customHeight="1" x14ac:dyDescent="0.2">
      <c r="B1881" s="32"/>
      <c r="C1881" s="32"/>
      <c r="D1881" s="32"/>
      <c r="E1881" s="32"/>
      <c r="F1881" s="32"/>
      <c r="G1881" s="32"/>
      <c r="H1881" s="1"/>
      <c r="I1881" s="33"/>
      <c r="J1881" s="33"/>
      <c r="K1881" s="18"/>
      <c r="L1881" s="11"/>
    </row>
    <row r="1882" spans="2:12" x14ac:dyDescent="0.2">
      <c r="B1882" s="22"/>
      <c r="C1882" s="22"/>
      <c r="D1882" s="22"/>
      <c r="E1882" s="22"/>
      <c r="F1882" s="22"/>
      <c r="G1882" s="22"/>
      <c r="H1882" s="22"/>
      <c r="I1882" s="22"/>
      <c r="J1882" s="22"/>
      <c r="K1882" s="22"/>
      <c r="L1882" s="11"/>
    </row>
    <row r="1883" spans="2:12" x14ac:dyDescent="0.2">
      <c r="B1883" s="22"/>
      <c r="C1883" s="22"/>
      <c r="D1883" s="22"/>
      <c r="E1883" s="22"/>
      <c r="F1883" s="22"/>
      <c r="G1883" s="22"/>
      <c r="H1883" s="1"/>
      <c r="I1883" s="25"/>
      <c r="J1883" s="26"/>
      <c r="K1883" s="14"/>
      <c r="L1883" s="11"/>
    </row>
    <row r="1884" spans="2:12" x14ac:dyDescent="0.2">
      <c r="B1884" s="22"/>
      <c r="C1884" s="22"/>
      <c r="D1884" s="22"/>
      <c r="E1884" s="22"/>
      <c r="F1884" s="22"/>
      <c r="G1884" s="22"/>
      <c r="H1884" s="22"/>
      <c r="I1884" s="22"/>
      <c r="J1884" s="22"/>
      <c r="K1884" s="22"/>
      <c r="L1884" s="11"/>
    </row>
    <row r="1885" spans="2:12" x14ac:dyDescent="0.2">
      <c r="B1885" s="22"/>
      <c r="C1885" s="22"/>
      <c r="D1885" s="22"/>
      <c r="E1885" s="22"/>
      <c r="F1885" s="22"/>
      <c r="G1885" s="22"/>
      <c r="H1885" s="1"/>
      <c r="I1885" s="25"/>
      <c r="J1885" s="26"/>
      <c r="K1885" s="14"/>
      <c r="L1885" s="11"/>
    </row>
    <row r="1886" spans="2:12" x14ac:dyDescent="0.2">
      <c r="B1886" s="22"/>
      <c r="C1886" s="22"/>
      <c r="D1886" s="22"/>
      <c r="E1886" s="22"/>
      <c r="F1886" s="22"/>
      <c r="G1886" s="22"/>
      <c r="H1886" s="22"/>
      <c r="I1886" s="22"/>
      <c r="J1886" s="22"/>
      <c r="K1886" s="22"/>
      <c r="L1886" s="11"/>
    </row>
    <row r="1887" spans="2:12" ht="14.25" customHeight="1" x14ac:dyDescent="0.2">
      <c r="B1887" s="24"/>
      <c r="C1887" s="24"/>
      <c r="D1887" s="24"/>
      <c r="E1887" s="24"/>
      <c r="F1887" s="24"/>
      <c r="G1887" s="24"/>
      <c r="H1887" s="1"/>
      <c r="I1887" s="25"/>
      <c r="J1887" s="26"/>
      <c r="K1887" s="14"/>
      <c r="L1887" s="11"/>
    </row>
    <row r="1888" spans="2:12" x14ac:dyDescent="0.2">
      <c r="B1888" s="22"/>
      <c r="C1888" s="22"/>
      <c r="D1888" s="22"/>
      <c r="E1888" s="22"/>
      <c r="F1888" s="22"/>
      <c r="G1888" s="22"/>
      <c r="H1888" s="22"/>
      <c r="I1888" s="22"/>
      <c r="J1888" s="22"/>
      <c r="K1888" s="22"/>
      <c r="L1888" s="11"/>
    </row>
    <row r="1889" spans="2:12" x14ac:dyDescent="0.2">
      <c r="B1889" s="22"/>
      <c r="C1889" s="22"/>
      <c r="D1889" s="22"/>
      <c r="E1889" s="22"/>
      <c r="F1889" s="22"/>
      <c r="G1889" s="22"/>
      <c r="H1889" s="1"/>
      <c r="I1889" s="25"/>
      <c r="J1889" s="26"/>
      <c r="K1889" s="14"/>
      <c r="L1889" s="11"/>
    </row>
    <row r="1890" spans="2:12" x14ac:dyDescent="0.2">
      <c r="B1890" s="22"/>
      <c r="C1890" s="22"/>
      <c r="D1890" s="22"/>
      <c r="E1890" s="22"/>
      <c r="F1890" s="22"/>
      <c r="G1890" s="22"/>
      <c r="H1890" s="22"/>
      <c r="I1890" s="22"/>
      <c r="J1890" s="22"/>
      <c r="K1890" s="22"/>
      <c r="L1890" s="11"/>
    </row>
    <row r="1891" spans="2:12" x14ac:dyDescent="0.2">
      <c r="B1891" s="22"/>
      <c r="C1891" s="22"/>
      <c r="D1891" s="22"/>
      <c r="E1891" s="22"/>
      <c r="F1891" s="22"/>
      <c r="G1891" s="22"/>
      <c r="H1891" s="1"/>
      <c r="I1891" s="25"/>
      <c r="J1891" s="26"/>
      <c r="K1891" s="14"/>
      <c r="L1891" s="11"/>
    </row>
    <row r="1892" spans="2:12" x14ac:dyDescent="0.2">
      <c r="B1892" s="22"/>
      <c r="C1892" s="22"/>
      <c r="D1892" s="22"/>
      <c r="E1892" s="22"/>
      <c r="F1892" s="22"/>
      <c r="G1892" s="22"/>
      <c r="H1892" s="22"/>
      <c r="I1892" s="22"/>
      <c r="J1892" s="22"/>
      <c r="K1892" s="22"/>
      <c r="L1892" s="11"/>
    </row>
    <row r="1893" spans="2:12" x14ac:dyDescent="0.2">
      <c r="B1893" s="22"/>
      <c r="C1893" s="22"/>
      <c r="D1893" s="22"/>
      <c r="E1893" s="22"/>
      <c r="F1893" s="22"/>
      <c r="G1893" s="22"/>
      <c r="H1893" s="1"/>
      <c r="I1893" s="25"/>
      <c r="J1893" s="26"/>
      <c r="K1893" s="14"/>
      <c r="L1893" s="11"/>
    </row>
    <row r="1894" spans="2:12" x14ac:dyDescent="0.2">
      <c r="B1894" s="22"/>
      <c r="C1894" s="22"/>
      <c r="D1894" s="22"/>
      <c r="E1894" s="22"/>
      <c r="F1894" s="22"/>
      <c r="G1894" s="22"/>
      <c r="H1894" s="22"/>
      <c r="I1894" s="22"/>
      <c r="J1894" s="22"/>
      <c r="K1894" s="22"/>
      <c r="L1894" s="11"/>
    </row>
    <row r="1895" spans="2:12" ht="14.25" customHeight="1" x14ac:dyDescent="0.2">
      <c r="B1895" s="24"/>
      <c r="C1895" s="24"/>
      <c r="D1895" s="24"/>
      <c r="E1895" s="24"/>
      <c r="F1895" s="24"/>
      <c r="G1895" s="24"/>
      <c r="H1895" s="1"/>
      <c r="I1895" s="25"/>
      <c r="J1895" s="26"/>
      <c r="K1895" s="14"/>
      <c r="L1895" s="11"/>
    </row>
    <row r="1896" spans="2:12" x14ac:dyDescent="0.2">
      <c r="B1896" s="22"/>
      <c r="C1896" s="22"/>
      <c r="D1896" s="22"/>
      <c r="E1896" s="22"/>
      <c r="F1896" s="22"/>
      <c r="G1896" s="22"/>
      <c r="H1896" s="22"/>
      <c r="I1896" s="22"/>
      <c r="J1896" s="22"/>
      <c r="K1896" s="22"/>
    </row>
    <row r="1897" spans="2:12" ht="14.25" customHeight="1" x14ac:dyDescent="0.2">
      <c r="B1897" s="24"/>
      <c r="C1897" s="24"/>
      <c r="D1897" s="24"/>
      <c r="E1897" s="24"/>
      <c r="F1897" s="24"/>
      <c r="G1897" s="24"/>
      <c r="H1897" s="1"/>
      <c r="I1897" s="37"/>
      <c r="J1897" s="26"/>
      <c r="K1897" s="14"/>
    </row>
    <row r="1898" spans="2:12" x14ac:dyDescent="0.2">
      <c r="B1898" s="22"/>
      <c r="C1898" s="22"/>
      <c r="D1898" s="22"/>
      <c r="E1898" s="22"/>
      <c r="F1898" s="22"/>
      <c r="G1898" s="22"/>
      <c r="H1898" s="22"/>
      <c r="I1898" s="22"/>
      <c r="J1898" s="22"/>
      <c r="K1898" s="22"/>
    </row>
    <row r="1899" spans="2:12" x14ac:dyDescent="0.2">
      <c r="B1899" s="22"/>
      <c r="C1899" s="22"/>
      <c r="D1899" s="22"/>
      <c r="E1899" s="22"/>
      <c r="F1899" s="22"/>
      <c r="G1899" s="22"/>
      <c r="H1899" s="1"/>
      <c r="I1899" s="21"/>
      <c r="J1899" s="21"/>
      <c r="K1899" s="11"/>
    </row>
    <row r="1900" spans="2:12" x14ac:dyDescent="0.2">
      <c r="B1900" s="22"/>
      <c r="C1900" s="22"/>
      <c r="D1900" s="22"/>
      <c r="E1900" s="22"/>
      <c r="F1900" s="22"/>
      <c r="G1900" s="22"/>
      <c r="H1900" s="1"/>
      <c r="I1900" s="21"/>
      <c r="J1900" s="21"/>
      <c r="K1900" s="11"/>
    </row>
    <row r="1901" spans="2:12" x14ac:dyDescent="0.2">
      <c r="B1901" s="5" t="s">
        <v>24</v>
      </c>
      <c r="C1901" s="5"/>
      <c r="D1901" s="5"/>
      <c r="E1901" s="5"/>
      <c r="F1901" s="7" t="s">
        <v>25</v>
      </c>
      <c r="G1901" s="5"/>
      <c r="H1901" s="5"/>
      <c r="K1901" s="16">
        <f>SUM(K1881,K1883,K1885,K1887,K1889,K1891,K1893,K1895,K1897)</f>
        <v>0</v>
      </c>
    </row>
    <row r="1902" spans="2:12" x14ac:dyDescent="0.2">
      <c r="B1902" s="5"/>
      <c r="C1902" s="5"/>
      <c r="D1902" s="5"/>
      <c r="E1902" s="5"/>
      <c r="F1902" s="7" t="s">
        <v>26</v>
      </c>
      <c r="G1902" s="5"/>
      <c r="H1902" s="5"/>
      <c r="K1902" s="16">
        <v>0</v>
      </c>
    </row>
    <row r="1903" spans="2:12" x14ac:dyDescent="0.2">
      <c r="B1903" s="5"/>
      <c r="C1903" s="5"/>
      <c r="D1903" s="5"/>
      <c r="E1903" s="5"/>
      <c r="F1903" s="7" t="s">
        <v>27</v>
      </c>
      <c r="G1903" s="5"/>
      <c r="H1903" s="5"/>
      <c r="K1903" s="16">
        <f>K1901+K1902</f>
        <v>0</v>
      </c>
    </row>
    <row r="1904" spans="2:12" x14ac:dyDescent="0.2">
      <c r="B1904" s="28" t="s">
        <v>28</v>
      </c>
      <c r="C1904" s="28"/>
      <c r="D1904" s="28"/>
      <c r="E1904" s="5"/>
      <c r="F1904" s="7" t="s">
        <v>29</v>
      </c>
      <c r="G1904" s="5"/>
      <c r="H1904" s="13">
        <v>0.16</v>
      </c>
      <c r="K1904" s="17">
        <f>K1903*0.16</f>
        <v>0</v>
      </c>
    </row>
    <row r="1905" spans="1:12" x14ac:dyDescent="0.2">
      <c r="B1905" s="5"/>
      <c r="C1905" s="5"/>
      <c r="D1905" s="5"/>
      <c r="E1905" s="5"/>
      <c r="F1905" s="7" t="s">
        <v>30</v>
      </c>
      <c r="G1905" s="5"/>
      <c r="H1905" s="5"/>
      <c r="K1905" s="17">
        <f>K1903*1.16</f>
        <v>0</v>
      </c>
    </row>
    <row r="1909" spans="1:12" ht="13.5" customHeight="1" x14ac:dyDescent="0.2">
      <c r="A1909" s="35" t="s">
        <v>34</v>
      </c>
      <c r="B1909" s="35"/>
      <c r="C1909" s="35"/>
      <c r="D1909" s="35"/>
      <c r="E1909" s="35"/>
      <c r="F1909" s="35"/>
      <c r="G1909" s="35"/>
      <c r="H1909" s="35"/>
      <c r="I1909" s="35"/>
      <c r="J1909" s="35"/>
      <c r="K1909" s="35"/>
      <c r="L1909" s="35"/>
    </row>
    <row r="1910" spans="1:12" x14ac:dyDescent="0.2">
      <c r="A1910" s="35"/>
      <c r="B1910" s="35"/>
      <c r="C1910" s="35"/>
      <c r="D1910" s="35"/>
      <c r="E1910" s="35"/>
      <c r="F1910" s="35"/>
      <c r="G1910" s="35"/>
      <c r="H1910" s="35"/>
      <c r="I1910" s="35"/>
      <c r="J1910" s="35"/>
      <c r="K1910" s="35"/>
      <c r="L1910" s="35"/>
    </row>
    <row r="1911" spans="1:12" ht="15" customHeight="1" x14ac:dyDescent="0.2">
      <c r="A1911" s="36" t="s">
        <v>31</v>
      </c>
      <c r="B1911" s="36"/>
      <c r="C1911" s="36"/>
      <c r="D1911" s="36"/>
      <c r="E1911" s="36"/>
      <c r="F1911" s="36"/>
      <c r="G1911" s="36"/>
      <c r="H1911" s="36"/>
      <c r="I1911" s="36"/>
      <c r="J1911" s="36"/>
      <c r="K1911" s="36"/>
      <c r="L1911" s="36"/>
    </row>
  </sheetData>
  <mergeCells count="1677">
    <mergeCell ref="B1900:G1900"/>
    <mergeCell ref="I1900:J1900"/>
    <mergeCell ref="B1904:D1904"/>
    <mergeCell ref="A1909:L1910"/>
    <mergeCell ref="A1911:L1911"/>
    <mergeCell ref="B1894:K1894"/>
    <mergeCell ref="B1895:G1895"/>
    <mergeCell ref="I1895:J1895"/>
    <mergeCell ref="B1896:K1896"/>
    <mergeCell ref="B1897:G1897"/>
    <mergeCell ref="I1897:J1897"/>
    <mergeCell ref="B1898:K1898"/>
    <mergeCell ref="B1899:G1899"/>
    <mergeCell ref="I1899:J1899"/>
    <mergeCell ref="B1888:K1888"/>
    <mergeCell ref="B1889:G1889"/>
    <mergeCell ref="I1889:J1889"/>
    <mergeCell ref="B1890:K1890"/>
    <mergeCell ref="B1891:G1891"/>
    <mergeCell ref="I1891:J1891"/>
    <mergeCell ref="B1892:K1892"/>
    <mergeCell ref="B1893:G1893"/>
    <mergeCell ref="I1893:J1893"/>
    <mergeCell ref="B1882:K1882"/>
    <mergeCell ref="B1883:G1883"/>
    <mergeCell ref="I1883:J1883"/>
    <mergeCell ref="B1884:K1884"/>
    <mergeCell ref="B1885:G1885"/>
    <mergeCell ref="I1885:J1885"/>
    <mergeCell ref="B1886:K1886"/>
    <mergeCell ref="B1887:G1887"/>
    <mergeCell ref="I1887:J1887"/>
    <mergeCell ref="C1872:D1872"/>
    <mergeCell ref="C1874:D1874"/>
    <mergeCell ref="C1875:D1875"/>
    <mergeCell ref="B1876:C1876"/>
    <mergeCell ref="C1877:G1877"/>
    <mergeCell ref="C1878:G1878"/>
    <mergeCell ref="B1880:G1880"/>
    <mergeCell ref="I1880:J1880"/>
    <mergeCell ref="B1881:G1881"/>
    <mergeCell ref="I1881:J1881"/>
    <mergeCell ref="B1849:K1849"/>
    <mergeCell ref="B1850:G1850"/>
    <mergeCell ref="I1850:J1850"/>
    <mergeCell ref="B1851:G1851"/>
    <mergeCell ref="I1851:J1851"/>
    <mergeCell ref="B1855:D1855"/>
    <mergeCell ref="A1860:L1861"/>
    <mergeCell ref="A1862:L1862"/>
    <mergeCell ref="K1868:K1869"/>
    <mergeCell ref="B1843:K1843"/>
    <mergeCell ref="B1844:G1844"/>
    <mergeCell ref="I1844:J1844"/>
    <mergeCell ref="B1845:K1845"/>
    <mergeCell ref="B1846:G1846"/>
    <mergeCell ref="I1846:J1846"/>
    <mergeCell ref="B1847:K1847"/>
    <mergeCell ref="B1848:G1848"/>
    <mergeCell ref="I1848:J1848"/>
    <mergeCell ref="B1837:K1837"/>
    <mergeCell ref="B1838:G1838"/>
    <mergeCell ref="I1838:J1838"/>
    <mergeCell ref="B1839:K1839"/>
    <mergeCell ref="B1840:G1840"/>
    <mergeCell ref="I1840:J1840"/>
    <mergeCell ref="B1841:K1841"/>
    <mergeCell ref="B1842:G1842"/>
    <mergeCell ref="I1842:J1842"/>
    <mergeCell ref="B1831:G1831"/>
    <mergeCell ref="I1831:J1831"/>
    <mergeCell ref="B1832:G1832"/>
    <mergeCell ref="I1832:J1832"/>
    <mergeCell ref="B1833:K1833"/>
    <mergeCell ref="B1834:G1834"/>
    <mergeCell ref="I1834:J1834"/>
    <mergeCell ref="B1835:K1835"/>
    <mergeCell ref="B1836:G1836"/>
    <mergeCell ref="I1836:J1836"/>
    <mergeCell ref="A1811:L1812"/>
    <mergeCell ref="A1813:L1813"/>
    <mergeCell ref="K1819:K1820"/>
    <mergeCell ref="C1823:D1823"/>
    <mergeCell ref="C1825:D1825"/>
    <mergeCell ref="C1826:D1826"/>
    <mergeCell ref="B1827:C1827"/>
    <mergeCell ref="C1828:G1828"/>
    <mergeCell ref="C1829:G1829"/>
    <mergeCell ref="B1798:K1798"/>
    <mergeCell ref="B1799:G1799"/>
    <mergeCell ref="I1799:J1799"/>
    <mergeCell ref="B1800:K1800"/>
    <mergeCell ref="B1801:G1801"/>
    <mergeCell ref="I1801:J1801"/>
    <mergeCell ref="B1802:G1802"/>
    <mergeCell ref="I1802:J1802"/>
    <mergeCell ref="B1806:D1806"/>
    <mergeCell ref="B1792:K1792"/>
    <mergeCell ref="B1793:G1793"/>
    <mergeCell ref="I1793:J1793"/>
    <mergeCell ref="B1794:K1794"/>
    <mergeCell ref="B1795:G1795"/>
    <mergeCell ref="I1795:J1795"/>
    <mergeCell ref="B1796:K1796"/>
    <mergeCell ref="B1797:G1797"/>
    <mergeCell ref="I1797:J1797"/>
    <mergeCell ref="B1786:K1786"/>
    <mergeCell ref="B1787:G1787"/>
    <mergeCell ref="I1787:J1787"/>
    <mergeCell ref="B1788:K1788"/>
    <mergeCell ref="B1789:G1789"/>
    <mergeCell ref="I1789:J1789"/>
    <mergeCell ref="B1790:K1790"/>
    <mergeCell ref="B1791:G1791"/>
    <mergeCell ref="I1791:J1791"/>
    <mergeCell ref="B1778:C1778"/>
    <mergeCell ref="C1779:G1779"/>
    <mergeCell ref="C1780:G1780"/>
    <mergeCell ref="B1782:G1782"/>
    <mergeCell ref="I1782:J1782"/>
    <mergeCell ref="B1783:G1783"/>
    <mergeCell ref="I1783:J1783"/>
    <mergeCell ref="B1784:K1784"/>
    <mergeCell ref="B1785:G1785"/>
    <mergeCell ref="I1785:J1785"/>
    <mergeCell ref="B1753:G1753"/>
    <mergeCell ref="I1753:J1753"/>
    <mergeCell ref="B1757:D1757"/>
    <mergeCell ref="A1762:L1763"/>
    <mergeCell ref="A1764:L1764"/>
    <mergeCell ref="K1770:K1771"/>
    <mergeCell ref="C1774:D1774"/>
    <mergeCell ref="C1776:D1776"/>
    <mergeCell ref="C1777:D1777"/>
    <mergeCell ref="B1747:K1747"/>
    <mergeCell ref="B1748:G1748"/>
    <mergeCell ref="I1748:J1748"/>
    <mergeCell ref="B1749:K1749"/>
    <mergeCell ref="B1750:G1750"/>
    <mergeCell ref="I1750:J1750"/>
    <mergeCell ref="B1751:K1751"/>
    <mergeCell ref="B1752:G1752"/>
    <mergeCell ref="I1752:J1752"/>
    <mergeCell ref="B1741:K1741"/>
    <mergeCell ref="B1742:G1742"/>
    <mergeCell ref="I1742:J1742"/>
    <mergeCell ref="B1743:K1743"/>
    <mergeCell ref="B1744:G1744"/>
    <mergeCell ref="I1744:J1744"/>
    <mergeCell ref="B1745:K1745"/>
    <mergeCell ref="B1746:G1746"/>
    <mergeCell ref="I1746:J1746"/>
    <mergeCell ref="B1735:K1735"/>
    <mergeCell ref="B1736:G1736"/>
    <mergeCell ref="I1736:J1736"/>
    <mergeCell ref="B1737:K1737"/>
    <mergeCell ref="B1738:G1738"/>
    <mergeCell ref="I1738:J1738"/>
    <mergeCell ref="B1739:K1739"/>
    <mergeCell ref="B1740:G1740"/>
    <mergeCell ref="I1740:J1740"/>
    <mergeCell ref="C1725:D1725"/>
    <mergeCell ref="C1727:D1727"/>
    <mergeCell ref="C1728:D1728"/>
    <mergeCell ref="B1729:C1729"/>
    <mergeCell ref="C1730:G1730"/>
    <mergeCell ref="C1731:G1731"/>
    <mergeCell ref="B1733:G1733"/>
    <mergeCell ref="I1733:J1733"/>
    <mergeCell ref="B1734:G1734"/>
    <mergeCell ref="I1734:J1734"/>
    <mergeCell ref="B1702:K1702"/>
    <mergeCell ref="B1703:G1703"/>
    <mergeCell ref="I1703:J1703"/>
    <mergeCell ref="B1704:G1704"/>
    <mergeCell ref="I1704:J1704"/>
    <mergeCell ref="B1708:D1708"/>
    <mergeCell ref="A1713:L1714"/>
    <mergeCell ref="A1715:L1715"/>
    <mergeCell ref="K1721:K1722"/>
    <mergeCell ref="B1696:K1696"/>
    <mergeCell ref="B1697:G1697"/>
    <mergeCell ref="I1697:J1697"/>
    <mergeCell ref="B1698:K1698"/>
    <mergeCell ref="B1699:G1699"/>
    <mergeCell ref="I1699:J1699"/>
    <mergeCell ref="B1700:K1700"/>
    <mergeCell ref="B1701:G1701"/>
    <mergeCell ref="I1701:J1701"/>
    <mergeCell ref="B1690:K1690"/>
    <mergeCell ref="B1691:G1691"/>
    <mergeCell ref="I1691:J1691"/>
    <mergeCell ref="B1692:K1692"/>
    <mergeCell ref="B1693:G1693"/>
    <mergeCell ref="I1693:J1693"/>
    <mergeCell ref="B1694:K1694"/>
    <mergeCell ref="B1695:G1695"/>
    <mergeCell ref="I1695:J1695"/>
    <mergeCell ref="B1684:G1684"/>
    <mergeCell ref="I1684:J1684"/>
    <mergeCell ref="B1685:G1685"/>
    <mergeCell ref="I1685:J1685"/>
    <mergeCell ref="B1686:K1686"/>
    <mergeCell ref="B1687:G1687"/>
    <mergeCell ref="I1687:J1687"/>
    <mergeCell ref="B1688:K1688"/>
    <mergeCell ref="B1689:G1689"/>
    <mergeCell ref="I1689:J1689"/>
    <mergeCell ref="A1664:L1665"/>
    <mergeCell ref="A1666:L1666"/>
    <mergeCell ref="K1672:K1673"/>
    <mergeCell ref="C1676:D1676"/>
    <mergeCell ref="C1678:D1678"/>
    <mergeCell ref="C1679:D1679"/>
    <mergeCell ref="B1680:C1680"/>
    <mergeCell ref="C1681:G1681"/>
    <mergeCell ref="C1682:G1682"/>
    <mergeCell ref="B1651:K1651"/>
    <mergeCell ref="B1652:G1652"/>
    <mergeCell ref="I1652:J1652"/>
    <mergeCell ref="B1653:K1653"/>
    <mergeCell ref="B1654:G1654"/>
    <mergeCell ref="I1654:J1654"/>
    <mergeCell ref="B1655:G1655"/>
    <mergeCell ref="I1655:J1655"/>
    <mergeCell ref="B1659:D1659"/>
    <mergeCell ref="B1645:K1645"/>
    <mergeCell ref="B1646:G1646"/>
    <mergeCell ref="I1646:J1646"/>
    <mergeCell ref="B1647:K1647"/>
    <mergeCell ref="B1648:G1648"/>
    <mergeCell ref="I1648:J1648"/>
    <mergeCell ref="B1649:K1649"/>
    <mergeCell ref="B1650:G1650"/>
    <mergeCell ref="I1650:J1650"/>
    <mergeCell ref="B1639:K1639"/>
    <mergeCell ref="B1640:G1640"/>
    <mergeCell ref="I1640:J1640"/>
    <mergeCell ref="B1641:K1641"/>
    <mergeCell ref="B1642:G1642"/>
    <mergeCell ref="I1642:J1642"/>
    <mergeCell ref="B1643:K1643"/>
    <mergeCell ref="B1644:G1644"/>
    <mergeCell ref="I1644:J1644"/>
    <mergeCell ref="B1631:C1631"/>
    <mergeCell ref="C1632:G1632"/>
    <mergeCell ref="C1633:G1633"/>
    <mergeCell ref="B1635:G1635"/>
    <mergeCell ref="I1635:J1635"/>
    <mergeCell ref="B1636:G1636"/>
    <mergeCell ref="I1636:J1636"/>
    <mergeCell ref="B1637:K1637"/>
    <mergeCell ref="B1638:G1638"/>
    <mergeCell ref="I1638:J1638"/>
    <mergeCell ref="B1606:G1606"/>
    <mergeCell ref="I1606:J1606"/>
    <mergeCell ref="B1610:D1610"/>
    <mergeCell ref="A1615:L1616"/>
    <mergeCell ref="A1617:L1617"/>
    <mergeCell ref="K1623:K1624"/>
    <mergeCell ref="C1627:D1627"/>
    <mergeCell ref="C1629:D1629"/>
    <mergeCell ref="C1630:D1630"/>
    <mergeCell ref="B1600:K1600"/>
    <mergeCell ref="B1601:G1601"/>
    <mergeCell ref="I1601:J1601"/>
    <mergeCell ref="B1602:K1602"/>
    <mergeCell ref="B1603:G1603"/>
    <mergeCell ref="I1603:J1603"/>
    <mergeCell ref="B1604:K1604"/>
    <mergeCell ref="B1605:G1605"/>
    <mergeCell ref="I1605:J1605"/>
    <mergeCell ref="B1594:K1594"/>
    <mergeCell ref="B1595:G1595"/>
    <mergeCell ref="I1595:J1595"/>
    <mergeCell ref="B1596:K1596"/>
    <mergeCell ref="B1597:G1597"/>
    <mergeCell ref="I1597:J1597"/>
    <mergeCell ref="B1598:K1598"/>
    <mergeCell ref="B1599:G1599"/>
    <mergeCell ref="I1599:J1599"/>
    <mergeCell ref="B1588:K1588"/>
    <mergeCell ref="B1589:G1589"/>
    <mergeCell ref="I1589:J1589"/>
    <mergeCell ref="B1590:K1590"/>
    <mergeCell ref="B1591:G1591"/>
    <mergeCell ref="I1591:J1591"/>
    <mergeCell ref="B1592:K1592"/>
    <mergeCell ref="B1593:G1593"/>
    <mergeCell ref="I1593:J1593"/>
    <mergeCell ref="C1578:D1578"/>
    <mergeCell ref="C1580:D1580"/>
    <mergeCell ref="C1581:D1581"/>
    <mergeCell ref="B1582:C1582"/>
    <mergeCell ref="C1583:G1583"/>
    <mergeCell ref="C1584:G1584"/>
    <mergeCell ref="B1586:G1586"/>
    <mergeCell ref="I1586:J1586"/>
    <mergeCell ref="B1587:G1587"/>
    <mergeCell ref="I1587:J1587"/>
    <mergeCell ref="B1555:K1555"/>
    <mergeCell ref="B1556:G1556"/>
    <mergeCell ref="I1556:J1556"/>
    <mergeCell ref="B1557:G1557"/>
    <mergeCell ref="I1557:J1557"/>
    <mergeCell ref="B1561:D1561"/>
    <mergeCell ref="A1566:L1567"/>
    <mergeCell ref="A1568:L1568"/>
    <mergeCell ref="K1574:K1575"/>
    <mergeCell ref="B1549:K1549"/>
    <mergeCell ref="B1550:G1550"/>
    <mergeCell ref="I1550:J1550"/>
    <mergeCell ref="B1551:K1551"/>
    <mergeCell ref="B1552:G1552"/>
    <mergeCell ref="I1552:J1552"/>
    <mergeCell ref="B1553:K1553"/>
    <mergeCell ref="B1554:G1554"/>
    <mergeCell ref="I1554:J1554"/>
    <mergeCell ref="B1543:K1543"/>
    <mergeCell ref="B1544:G1544"/>
    <mergeCell ref="I1544:J1544"/>
    <mergeCell ref="B1545:K1545"/>
    <mergeCell ref="B1546:G1546"/>
    <mergeCell ref="I1546:J1546"/>
    <mergeCell ref="B1547:K1547"/>
    <mergeCell ref="B1548:G1548"/>
    <mergeCell ref="I1548:J1548"/>
    <mergeCell ref="B1537:G1537"/>
    <mergeCell ref="I1537:J1537"/>
    <mergeCell ref="B1538:G1538"/>
    <mergeCell ref="I1538:J1538"/>
    <mergeCell ref="B1539:K1539"/>
    <mergeCell ref="B1540:G1540"/>
    <mergeCell ref="I1540:J1540"/>
    <mergeCell ref="B1541:K1541"/>
    <mergeCell ref="B1542:G1542"/>
    <mergeCell ref="I1542:J1542"/>
    <mergeCell ref="A1517:L1518"/>
    <mergeCell ref="A1519:L1519"/>
    <mergeCell ref="K1525:K1526"/>
    <mergeCell ref="C1529:D1529"/>
    <mergeCell ref="C1531:D1531"/>
    <mergeCell ref="C1532:D1532"/>
    <mergeCell ref="B1533:C1533"/>
    <mergeCell ref="C1534:G1534"/>
    <mergeCell ref="C1535:G1535"/>
    <mergeCell ref="B1504:K1504"/>
    <mergeCell ref="B1505:G1505"/>
    <mergeCell ref="I1505:J1505"/>
    <mergeCell ref="B1506:K1506"/>
    <mergeCell ref="B1507:G1507"/>
    <mergeCell ref="I1507:J1507"/>
    <mergeCell ref="B1508:G1508"/>
    <mergeCell ref="I1508:J1508"/>
    <mergeCell ref="B1512:D1512"/>
    <mergeCell ref="B1498:K1498"/>
    <mergeCell ref="B1499:G1499"/>
    <mergeCell ref="I1499:J1499"/>
    <mergeCell ref="B1500:K1500"/>
    <mergeCell ref="B1501:G1501"/>
    <mergeCell ref="I1501:J1501"/>
    <mergeCell ref="B1502:K1502"/>
    <mergeCell ref="B1503:G1503"/>
    <mergeCell ref="I1503:J1503"/>
    <mergeCell ref="B1492:K1492"/>
    <mergeCell ref="B1493:G1493"/>
    <mergeCell ref="I1493:J1493"/>
    <mergeCell ref="B1494:K1494"/>
    <mergeCell ref="B1495:G1495"/>
    <mergeCell ref="I1495:J1495"/>
    <mergeCell ref="B1496:K1496"/>
    <mergeCell ref="B1497:G1497"/>
    <mergeCell ref="I1497:J1497"/>
    <mergeCell ref="B1484:C1484"/>
    <mergeCell ref="C1485:G1485"/>
    <mergeCell ref="C1486:G1486"/>
    <mergeCell ref="B1488:G1488"/>
    <mergeCell ref="I1488:J1488"/>
    <mergeCell ref="B1489:G1489"/>
    <mergeCell ref="I1489:J1489"/>
    <mergeCell ref="B1490:K1490"/>
    <mergeCell ref="B1491:G1491"/>
    <mergeCell ref="I1491:J1491"/>
    <mergeCell ref="B1459:G1459"/>
    <mergeCell ref="I1459:J1459"/>
    <mergeCell ref="B1463:D1463"/>
    <mergeCell ref="A1468:L1469"/>
    <mergeCell ref="A1470:L1470"/>
    <mergeCell ref="K1476:K1477"/>
    <mergeCell ref="C1480:D1480"/>
    <mergeCell ref="C1482:D1482"/>
    <mergeCell ref="C1483:D1483"/>
    <mergeCell ref="B1453:K1453"/>
    <mergeCell ref="B1454:G1454"/>
    <mergeCell ref="I1454:J1454"/>
    <mergeCell ref="B1455:K1455"/>
    <mergeCell ref="B1456:G1456"/>
    <mergeCell ref="I1456:J1456"/>
    <mergeCell ref="B1457:K1457"/>
    <mergeCell ref="B1458:G1458"/>
    <mergeCell ref="I1458:J1458"/>
    <mergeCell ref="B1447:K1447"/>
    <mergeCell ref="B1448:G1448"/>
    <mergeCell ref="I1448:J1448"/>
    <mergeCell ref="B1449:K1449"/>
    <mergeCell ref="B1450:G1450"/>
    <mergeCell ref="I1450:J1450"/>
    <mergeCell ref="B1451:K1451"/>
    <mergeCell ref="B1452:G1452"/>
    <mergeCell ref="I1452:J1452"/>
    <mergeCell ref="B1441:K1441"/>
    <mergeCell ref="B1442:G1442"/>
    <mergeCell ref="I1442:J1442"/>
    <mergeCell ref="B1443:K1443"/>
    <mergeCell ref="B1444:G1444"/>
    <mergeCell ref="I1444:J1444"/>
    <mergeCell ref="B1445:K1445"/>
    <mergeCell ref="B1446:G1446"/>
    <mergeCell ref="I1446:J1446"/>
    <mergeCell ref="C1431:D1431"/>
    <mergeCell ref="C1433:D1433"/>
    <mergeCell ref="C1434:D1434"/>
    <mergeCell ref="B1435:C1435"/>
    <mergeCell ref="C1436:G1436"/>
    <mergeCell ref="C1437:G1437"/>
    <mergeCell ref="B1439:G1439"/>
    <mergeCell ref="I1439:J1439"/>
    <mergeCell ref="B1440:G1440"/>
    <mergeCell ref="I1440:J1440"/>
    <mergeCell ref="B1408:K1408"/>
    <mergeCell ref="B1409:G1409"/>
    <mergeCell ref="I1409:J1409"/>
    <mergeCell ref="B1410:G1410"/>
    <mergeCell ref="I1410:J1410"/>
    <mergeCell ref="B1414:D1414"/>
    <mergeCell ref="A1419:L1420"/>
    <mergeCell ref="A1421:L1421"/>
    <mergeCell ref="K1427:K1428"/>
    <mergeCell ref="B1402:K1402"/>
    <mergeCell ref="B1403:G1403"/>
    <mergeCell ref="I1403:J1403"/>
    <mergeCell ref="B1404:K1404"/>
    <mergeCell ref="B1405:G1405"/>
    <mergeCell ref="I1405:J1405"/>
    <mergeCell ref="B1406:K1406"/>
    <mergeCell ref="B1407:G1407"/>
    <mergeCell ref="I1407:J1407"/>
    <mergeCell ref="B1396:K1396"/>
    <mergeCell ref="B1397:G1397"/>
    <mergeCell ref="I1397:J1397"/>
    <mergeCell ref="B1398:K1398"/>
    <mergeCell ref="B1399:G1399"/>
    <mergeCell ref="I1399:J1399"/>
    <mergeCell ref="B1400:K1400"/>
    <mergeCell ref="B1401:G1401"/>
    <mergeCell ref="I1401:J1401"/>
    <mergeCell ref="B1390:G1390"/>
    <mergeCell ref="I1390:J1390"/>
    <mergeCell ref="B1391:G1391"/>
    <mergeCell ref="I1391:J1391"/>
    <mergeCell ref="B1392:K1392"/>
    <mergeCell ref="B1393:G1393"/>
    <mergeCell ref="I1393:J1393"/>
    <mergeCell ref="B1394:K1394"/>
    <mergeCell ref="B1395:G1395"/>
    <mergeCell ref="I1395:J1395"/>
    <mergeCell ref="A1370:L1371"/>
    <mergeCell ref="A1372:L1372"/>
    <mergeCell ref="K1378:K1379"/>
    <mergeCell ref="C1382:D1382"/>
    <mergeCell ref="C1384:D1384"/>
    <mergeCell ref="C1385:D1385"/>
    <mergeCell ref="B1386:C1386"/>
    <mergeCell ref="C1387:G1387"/>
    <mergeCell ref="C1388:G1388"/>
    <mergeCell ref="B1357:K1357"/>
    <mergeCell ref="B1358:G1358"/>
    <mergeCell ref="I1358:J1358"/>
    <mergeCell ref="B1359:K1359"/>
    <mergeCell ref="B1360:G1360"/>
    <mergeCell ref="I1360:J1360"/>
    <mergeCell ref="B1361:G1361"/>
    <mergeCell ref="I1361:J1361"/>
    <mergeCell ref="B1365:D1365"/>
    <mergeCell ref="B1351:K1351"/>
    <mergeCell ref="B1352:G1352"/>
    <mergeCell ref="I1352:J1352"/>
    <mergeCell ref="B1353:K1353"/>
    <mergeCell ref="B1354:G1354"/>
    <mergeCell ref="I1354:J1354"/>
    <mergeCell ref="B1355:K1355"/>
    <mergeCell ref="B1356:G1356"/>
    <mergeCell ref="I1356:J1356"/>
    <mergeCell ref="B1345:K1345"/>
    <mergeCell ref="B1346:G1346"/>
    <mergeCell ref="I1346:J1346"/>
    <mergeCell ref="B1347:K1347"/>
    <mergeCell ref="B1348:G1348"/>
    <mergeCell ref="I1348:J1348"/>
    <mergeCell ref="B1349:K1349"/>
    <mergeCell ref="B1350:G1350"/>
    <mergeCell ref="I1350:J1350"/>
    <mergeCell ref="B1337:C1337"/>
    <mergeCell ref="C1338:G1338"/>
    <mergeCell ref="C1339:G1339"/>
    <mergeCell ref="B1341:G1341"/>
    <mergeCell ref="I1341:J1341"/>
    <mergeCell ref="B1342:G1342"/>
    <mergeCell ref="I1342:J1342"/>
    <mergeCell ref="B1343:K1343"/>
    <mergeCell ref="B1344:G1344"/>
    <mergeCell ref="I1344:J1344"/>
    <mergeCell ref="B1312:G1312"/>
    <mergeCell ref="I1312:J1312"/>
    <mergeCell ref="B1316:D1316"/>
    <mergeCell ref="A1321:L1322"/>
    <mergeCell ref="A1323:L1323"/>
    <mergeCell ref="K1329:K1330"/>
    <mergeCell ref="C1333:D1333"/>
    <mergeCell ref="C1335:D1335"/>
    <mergeCell ref="C1336:D1336"/>
    <mergeCell ref="B1306:K1306"/>
    <mergeCell ref="B1307:G1307"/>
    <mergeCell ref="I1307:J1307"/>
    <mergeCell ref="B1308:K1308"/>
    <mergeCell ref="B1309:G1309"/>
    <mergeCell ref="I1309:J1309"/>
    <mergeCell ref="B1310:K1310"/>
    <mergeCell ref="B1311:G1311"/>
    <mergeCell ref="I1311:J1311"/>
    <mergeCell ref="B1300:K1300"/>
    <mergeCell ref="B1301:G1301"/>
    <mergeCell ref="I1301:J1301"/>
    <mergeCell ref="B1302:K1302"/>
    <mergeCell ref="B1303:G1303"/>
    <mergeCell ref="I1303:J1303"/>
    <mergeCell ref="B1304:K1304"/>
    <mergeCell ref="B1305:G1305"/>
    <mergeCell ref="I1305:J1305"/>
    <mergeCell ref="B1294:K1294"/>
    <mergeCell ref="B1295:G1295"/>
    <mergeCell ref="I1295:J1295"/>
    <mergeCell ref="B1296:K1296"/>
    <mergeCell ref="B1297:G1297"/>
    <mergeCell ref="I1297:J1297"/>
    <mergeCell ref="B1298:K1298"/>
    <mergeCell ref="B1299:G1299"/>
    <mergeCell ref="I1299:J1299"/>
    <mergeCell ref="C1284:D1284"/>
    <mergeCell ref="C1286:D1286"/>
    <mergeCell ref="C1287:D1287"/>
    <mergeCell ref="B1288:C1288"/>
    <mergeCell ref="C1289:G1289"/>
    <mergeCell ref="C1290:G1290"/>
    <mergeCell ref="B1292:G1292"/>
    <mergeCell ref="I1292:J1292"/>
    <mergeCell ref="B1293:G1293"/>
    <mergeCell ref="I1293:J1293"/>
    <mergeCell ref="B1261:K1261"/>
    <mergeCell ref="B1262:G1262"/>
    <mergeCell ref="I1262:J1262"/>
    <mergeCell ref="B1263:G1263"/>
    <mergeCell ref="I1263:J1263"/>
    <mergeCell ref="B1267:D1267"/>
    <mergeCell ref="A1272:L1273"/>
    <mergeCell ref="A1274:L1274"/>
    <mergeCell ref="K1280:K1281"/>
    <mergeCell ref="B1255:K1255"/>
    <mergeCell ref="B1256:G1256"/>
    <mergeCell ref="I1256:J1256"/>
    <mergeCell ref="B1257:K1257"/>
    <mergeCell ref="B1258:G1258"/>
    <mergeCell ref="I1258:J1258"/>
    <mergeCell ref="B1259:K1259"/>
    <mergeCell ref="B1260:G1260"/>
    <mergeCell ref="I1260:J1260"/>
    <mergeCell ref="B1249:K1249"/>
    <mergeCell ref="B1250:G1250"/>
    <mergeCell ref="I1250:J1250"/>
    <mergeCell ref="B1251:K1251"/>
    <mergeCell ref="B1252:G1252"/>
    <mergeCell ref="I1252:J1252"/>
    <mergeCell ref="B1253:K1253"/>
    <mergeCell ref="B1254:G1254"/>
    <mergeCell ref="I1254:J1254"/>
    <mergeCell ref="B1243:G1243"/>
    <mergeCell ref="I1243:J1243"/>
    <mergeCell ref="B1244:G1244"/>
    <mergeCell ref="I1244:J1244"/>
    <mergeCell ref="B1245:K1245"/>
    <mergeCell ref="B1246:G1246"/>
    <mergeCell ref="I1246:J1246"/>
    <mergeCell ref="B1247:K1247"/>
    <mergeCell ref="B1248:G1248"/>
    <mergeCell ref="I1248:J1248"/>
    <mergeCell ref="A1223:L1224"/>
    <mergeCell ref="A1225:L1225"/>
    <mergeCell ref="K1231:K1232"/>
    <mergeCell ref="C1235:D1235"/>
    <mergeCell ref="C1237:D1237"/>
    <mergeCell ref="C1238:D1238"/>
    <mergeCell ref="B1239:C1239"/>
    <mergeCell ref="C1240:G1240"/>
    <mergeCell ref="C1241:G1241"/>
    <mergeCell ref="B1210:K1210"/>
    <mergeCell ref="B1211:G1211"/>
    <mergeCell ref="I1211:J1211"/>
    <mergeCell ref="B1212:K1212"/>
    <mergeCell ref="B1213:G1213"/>
    <mergeCell ref="I1213:J1213"/>
    <mergeCell ref="B1214:G1214"/>
    <mergeCell ref="I1214:J1214"/>
    <mergeCell ref="B1218:D1218"/>
    <mergeCell ref="B1204:K1204"/>
    <mergeCell ref="B1205:G1205"/>
    <mergeCell ref="I1205:J1205"/>
    <mergeCell ref="B1206:K1206"/>
    <mergeCell ref="B1207:G1207"/>
    <mergeCell ref="I1207:J1207"/>
    <mergeCell ref="B1208:K1208"/>
    <mergeCell ref="B1209:G1209"/>
    <mergeCell ref="I1209:J1209"/>
    <mergeCell ref="B1198:K1198"/>
    <mergeCell ref="B1199:G1199"/>
    <mergeCell ref="I1199:J1199"/>
    <mergeCell ref="B1200:K1200"/>
    <mergeCell ref="B1201:G1201"/>
    <mergeCell ref="I1201:J1201"/>
    <mergeCell ref="B1202:K1202"/>
    <mergeCell ref="B1203:G1203"/>
    <mergeCell ref="I1203:J1203"/>
    <mergeCell ref="B1190:C1190"/>
    <mergeCell ref="C1191:G1191"/>
    <mergeCell ref="C1192:G1192"/>
    <mergeCell ref="B1194:G1194"/>
    <mergeCell ref="I1194:J1194"/>
    <mergeCell ref="B1195:G1195"/>
    <mergeCell ref="I1195:J1195"/>
    <mergeCell ref="B1196:K1196"/>
    <mergeCell ref="B1197:G1197"/>
    <mergeCell ref="I1197:J1197"/>
    <mergeCell ref="B1165:G1165"/>
    <mergeCell ref="I1165:J1165"/>
    <mergeCell ref="B1169:D1169"/>
    <mergeCell ref="A1174:L1175"/>
    <mergeCell ref="A1176:L1176"/>
    <mergeCell ref="K1182:K1183"/>
    <mergeCell ref="C1186:D1186"/>
    <mergeCell ref="C1188:D1188"/>
    <mergeCell ref="C1189:D1189"/>
    <mergeCell ref="B1159:K1159"/>
    <mergeCell ref="B1160:G1160"/>
    <mergeCell ref="I1160:J1160"/>
    <mergeCell ref="B1161:K1161"/>
    <mergeCell ref="B1162:G1162"/>
    <mergeCell ref="I1162:J1162"/>
    <mergeCell ref="B1163:K1163"/>
    <mergeCell ref="B1164:G1164"/>
    <mergeCell ref="I1164:J1164"/>
    <mergeCell ref="B1153:K1153"/>
    <mergeCell ref="B1154:G1154"/>
    <mergeCell ref="I1154:J1154"/>
    <mergeCell ref="B1155:K1155"/>
    <mergeCell ref="B1156:G1156"/>
    <mergeCell ref="I1156:J1156"/>
    <mergeCell ref="B1157:K1157"/>
    <mergeCell ref="B1158:G1158"/>
    <mergeCell ref="I1158:J1158"/>
    <mergeCell ref="B1147:K1147"/>
    <mergeCell ref="B1148:G1148"/>
    <mergeCell ref="I1148:J1148"/>
    <mergeCell ref="B1149:K1149"/>
    <mergeCell ref="B1150:G1150"/>
    <mergeCell ref="I1150:J1150"/>
    <mergeCell ref="B1151:K1151"/>
    <mergeCell ref="B1152:G1152"/>
    <mergeCell ref="I1152:J1152"/>
    <mergeCell ref="C1137:D1137"/>
    <mergeCell ref="C1139:D1139"/>
    <mergeCell ref="C1140:D1140"/>
    <mergeCell ref="B1141:C1141"/>
    <mergeCell ref="C1142:G1142"/>
    <mergeCell ref="C1143:G1143"/>
    <mergeCell ref="B1145:G1145"/>
    <mergeCell ref="I1145:J1145"/>
    <mergeCell ref="B1146:G1146"/>
    <mergeCell ref="I1146:J1146"/>
    <mergeCell ref="B1114:K1114"/>
    <mergeCell ref="B1115:G1115"/>
    <mergeCell ref="I1115:J1115"/>
    <mergeCell ref="B1116:G1116"/>
    <mergeCell ref="I1116:J1116"/>
    <mergeCell ref="B1120:D1120"/>
    <mergeCell ref="A1125:L1126"/>
    <mergeCell ref="A1127:L1127"/>
    <mergeCell ref="K1133:K1134"/>
    <mergeCell ref="B1108:K1108"/>
    <mergeCell ref="B1109:G1109"/>
    <mergeCell ref="I1109:J1109"/>
    <mergeCell ref="B1110:K1110"/>
    <mergeCell ref="B1111:G1111"/>
    <mergeCell ref="I1111:J1111"/>
    <mergeCell ref="B1112:K1112"/>
    <mergeCell ref="B1113:G1113"/>
    <mergeCell ref="I1113:J1113"/>
    <mergeCell ref="B1102:K1102"/>
    <mergeCell ref="B1103:G1103"/>
    <mergeCell ref="I1103:J1103"/>
    <mergeCell ref="B1104:K1104"/>
    <mergeCell ref="B1105:G1105"/>
    <mergeCell ref="I1105:J1105"/>
    <mergeCell ref="B1106:K1106"/>
    <mergeCell ref="B1107:G1107"/>
    <mergeCell ref="I1107:J1107"/>
    <mergeCell ref="B1096:G1096"/>
    <mergeCell ref="I1096:J1096"/>
    <mergeCell ref="B1097:G1097"/>
    <mergeCell ref="I1097:J1097"/>
    <mergeCell ref="B1098:K1098"/>
    <mergeCell ref="B1099:G1099"/>
    <mergeCell ref="I1099:J1099"/>
    <mergeCell ref="B1100:K1100"/>
    <mergeCell ref="B1101:G1101"/>
    <mergeCell ref="I1101:J1101"/>
    <mergeCell ref="A1076:L1077"/>
    <mergeCell ref="A1078:L1078"/>
    <mergeCell ref="K1084:K1085"/>
    <mergeCell ref="C1088:D1088"/>
    <mergeCell ref="C1090:D1090"/>
    <mergeCell ref="C1091:D1091"/>
    <mergeCell ref="B1092:C1092"/>
    <mergeCell ref="C1093:G1093"/>
    <mergeCell ref="C1094:G1094"/>
    <mergeCell ref="B1063:K1063"/>
    <mergeCell ref="B1064:G1064"/>
    <mergeCell ref="I1064:J1064"/>
    <mergeCell ref="B1065:K1065"/>
    <mergeCell ref="B1066:G1066"/>
    <mergeCell ref="I1066:J1066"/>
    <mergeCell ref="B1067:G1067"/>
    <mergeCell ref="I1067:J1067"/>
    <mergeCell ref="B1071:D1071"/>
    <mergeCell ref="B1057:K1057"/>
    <mergeCell ref="B1058:G1058"/>
    <mergeCell ref="I1058:J1058"/>
    <mergeCell ref="B1059:K1059"/>
    <mergeCell ref="B1060:G1060"/>
    <mergeCell ref="I1060:J1060"/>
    <mergeCell ref="B1061:K1061"/>
    <mergeCell ref="B1062:G1062"/>
    <mergeCell ref="I1062:J1062"/>
    <mergeCell ref="B1051:K1051"/>
    <mergeCell ref="B1052:G1052"/>
    <mergeCell ref="I1052:J1052"/>
    <mergeCell ref="B1053:K1053"/>
    <mergeCell ref="B1054:G1054"/>
    <mergeCell ref="I1054:J1054"/>
    <mergeCell ref="B1055:K1055"/>
    <mergeCell ref="B1056:G1056"/>
    <mergeCell ref="I1056:J1056"/>
    <mergeCell ref="B1043:C1043"/>
    <mergeCell ref="C1044:G1044"/>
    <mergeCell ref="C1045:G1045"/>
    <mergeCell ref="B1047:G1047"/>
    <mergeCell ref="I1047:J1047"/>
    <mergeCell ref="B1048:G1048"/>
    <mergeCell ref="I1048:J1048"/>
    <mergeCell ref="B1049:K1049"/>
    <mergeCell ref="B1050:G1050"/>
    <mergeCell ref="I1050:J1050"/>
    <mergeCell ref="B1018:G1018"/>
    <mergeCell ref="I1018:J1018"/>
    <mergeCell ref="B1022:D1022"/>
    <mergeCell ref="A1027:L1028"/>
    <mergeCell ref="A1029:L1029"/>
    <mergeCell ref="K1035:K1036"/>
    <mergeCell ref="C1039:D1039"/>
    <mergeCell ref="C1041:D1041"/>
    <mergeCell ref="C1042:D1042"/>
    <mergeCell ref="B1012:K1012"/>
    <mergeCell ref="B1013:G1013"/>
    <mergeCell ref="I1013:J1013"/>
    <mergeCell ref="B1014:K1014"/>
    <mergeCell ref="B1015:G1015"/>
    <mergeCell ref="I1015:J1015"/>
    <mergeCell ref="B1016:K1016"/>
    <mergeCell ref="B1017:G1017"/>
    <mergeCell ref="I1017:J1017"/>
    <mergeCell ref="B1006:K1006"/>
    <mergeCell ref="B1007:G1007"/>
    <mergeCell ref="I1007:J1007"/>
    <mergeCell ref="B1008:K1008"/>
    <mergeCell ref="B1009:G1009"/>
    <mergeCell ref="I1009:J1009"/>
    <mergeCell ref="B1010:K1010"/>
    <mergeCell ref="B1011:G1011"/>
    <mergeCell ref="I1011:J1011"/>
    <mergeCell ref="B1000:K1000"/>
    <mergeCell ref="B1001:G1001"/>
    <mergeCell ref="I1001:J1001"/>
    <mergeCell ref="B1002:K1002"/>
    <mergeCell ref="B1003:G1003"/>
    <mergeCell ref="I1003:J1003"/>
    <mergeCell ref="B1004:K1004"/>
    <mergeCell ref="B1005:G1005"/>
    <mergeCell ref="I1005:J1005"/>
    <mergeCell ref="C990:D990"/>
    <mergeCell ref="C992:D992"/>
    <mergeCell ref="C993:D993"/>
    <mergeCell ref="B994:C994"/>
    <mergeCell ref="C995:G995"/>
    <mergeCell ref="C996:G996"/>
    <mergeCell ref="B998:G998"/>
    <mergeCell ref="I998:J998"/>
    <mergeCell ref="B999:G999"/>
    <mergeCell ref="I999:J999"/>
    <mergeCell ref="B967:K967"/>
    <mergeCell ref="B968:G968"/>
    <mergeCell ref="I968:J968"/>
    <mergeCell ref="B969:G969"/>
    <mergeCell ref="I969:J969"/>
    <mergeCell ref="B973:D973"/>
    <mergeCell ref="A978:L979"/>
    <mergeCell ref="A980:L980"/>
    <mergeCell ref="K986:K987"/>
    <mergeCell ref="B961:K961"/>
    <mergeCell ref="B962:G962"/>
    <mergeCell ref="I962:J962"/>
    <mergeCell ref="B963:K963"/>
    <mergeCell ref="B964:G964"/>
    <mergeCell ref="I964:J964"/>
    <mergeCell ref="B965:K965"/>
    <mergeCell ref="B966:G966"/>
    <mergeCell ref="I966:J966"/>
    <mergeCell ref="B955:K955"/>
    <mergeCell ref="B956:G956"/>
    <mergeCell ref="I956:J956"/>
    <mergeCell ref="B957:K957"/>
    <mergeCell ref="B958:G958"/>
    <mergeCell ref="I958:J958"/>
    <mergeCell ref="B959:K959"/>
    <mergeCell ref="B960:G960"/>
    <mergeCell ref="I960:J960"/>
    <mergeCell ref="B949:G949"/>
    <mergeCell ref="I949:J949"/>
    <mergeCell ref="B950:G950"/>
    <mergeCell ref="I950:J950"/>
    <mergeCell ref="B951:K951"/>
    <mergeCell ref="B952:G952"/>
    <mergeCell ref="I952:J952"/>
    <mergeCell ref="B953:K953"/>
    <mergeCell ref="B954:G954"/>
    <mergeCell ref="I954:J954"/>
    <mergeCell ref="A929:L930"/>
    <mergeCell ref="A931:L931"/>
    <mergeCell ref="K937:K938"/>
    <mergeCell ref="C941:D941"/>
    <mergeCell ref="C943:D943"/>
    <mergeCell ref="C944:D944"/>
    <mergeCell ref="B945:C945"/>
    <mergeCell ref="C946:G946"/>
    <mergeCell ref="C947:G947"/>
    <mergeCell ref="B916:K916"/>
    <mergeCell ref="B917:G917"/>
    <mergeCell ref="I917:J917"/>
    <mergeCell ref="B918:K918"/>
    <mergeCell ref="B919:G919"/>
    <mergeCell ref="I919:J919"/>
    <mergeCell ref="B920:G920"/>
    <mergeCell ref="I920:J920"/>
    <mergeCell ref="B924:D924"/>
    <mergeCell ref="B910:K910"/>
    <mergeCell ref="B911:G911"/>
    <mergeCell ref="I911:J911"/>
    <mergeCell ref="B912:K912"/>
    <mergeCell ref="B913:G913"/>
    <mergeCell ref="I913:J913"/>
    <mergeCell ref="B914:K914"/>
    <mergeCell ref="B915:G915"/>
    <mergeCell ref="I915:J915"/>
    <mergeCell ref="B904:K904"/>
    <mergeCell ref="B905:G905"/>
    <mergeCell ref="I905:J905"/>
    <mergeCell ref="B906:K906"/>
    <mergeCell ref="B907:G907"/>
    <mergeCell ref="I907:J907"/>
    <mergeCell ref="B908:K908"/>
    <mergeCell ref="B909:G909"/>
    <mergeCell ref="I909:J909"/>
    <mergeCell ref="B896:C896"/>
    <mergeCell ref="C897:G897"/>
    <mergeCell ref="C898:G898"/>
    <mergeCell ref="B900:G900"/>
    <mergeCell ref="I900:J900"/>
    <mergeCell ref="B901:G901"/>
    <mergeCell ref="I901:J901"/>
    <mergeCell ref="B902:K902"/>
    <mergeCell ref="B903:G903"/>
    <mergeCell ref="I903:J903"/>
    <mergeCell ref="B871:G871"/>
    <mergeCell ref="I871:J871"/>
    <mergeCell ref="B875:D875"/>
    <mergeCell ref="A880:L881"/>
    <mergeCell ref="A882:L882"/>
    <mergeCell ref="K888:K889"/>
    <mergeCell ref="C892:D892"/>
    <mergeCell ref="C894:D894"/>
    <mergeCell ref="C895:D895"/>
    <mergeCell ref="B865:K865"/>
    <mergeCell ref="B866:G866"/>
    <mergeCell ref="I866:J866"/>
    <mergeCell ref="B867:K867"/>
    <mergeCell ref="B868:G868"/>
    <mergeCell ref="I868:J868"/>
    <mergeCell ref="B869:K869"/>
    <mergeCell ref="B870:G870"/>
    <mergeCell ref="I870:J870"/>
    <mergeCell ref="B859:K859"/>
    <mergeCell ref="B860:G860"/>
    <mergeCell ref="I860:J860"/>
    <mergeCell ref="B861:K861"/>
    <mergeCell ref="B862:G862"/>
    <mergeCell ref="I862:J862"/>
    <mergeCell ref="B863:K863"/>
    <mergeCell ref="B864:G864"/>
    <mergeCell ref="I864:J864"/>
    <mergeCell ref="B853:K853"/>
    <mergeCell ref="B854:G854"/>
    <mergeCell ref="I854:J854"/>
    <mergeCell ref="B855:K855"/>
    <mergeCell ref="B856:G856"/>
    <mergeCell ref="I856:J856"/>
    <mergeCell ref="B857:K857"/>
    <mergeCell ref="B858:G858"/>
    <mergeCell ref="I858:J858"/>
    <mergeCell ref="C843:D843"/>
    <mergeCell ref="C845:D845"/>
    <mergeCell ref="C846:D846"/>
    <mergeCell ref="B847:C847"/>
    <mergeCell ref="C848:G848"/>
    <mergeCell ref="C849:G849"/>
    <mergeCell ref="B851:G851"/>
    <mergeCell ref="I851:J851"/>
    <mergeCell ref="B852:G852"/>
    <mergeCell ref="I852:J852"/>
    <mergeCell ref="B820:K820"/>
    <mergeCell ref="B821:G821"/>
    <mergeCell ref="I821:J821"/>
    <mergeCell ref="B822:G822"/>
    <mergeCell ref="I822:J822"/>
    <mergeCell ref="B826:D826"/>
    <mergeCell ref="A831:L832"/>
    <mergeCell ref="A833:L833"/>
    <mergeCell ref="K839:K840"/>
    <mergeCell ref="B814:K814"/>
    <mergeCell ref="B815:G815"/>
    <mergeCell ref="I815:J815"/>
    <mergeCell ref="B816:K816"/>
    <mergeCell ref="B817:G817"/>
    <mergeCell ref="I817:J817"/>
    <mergeCell ref="B818:K818"/>
    <mergeCell ref="B819:G819"/>
    <mergeCell ref="I819:J819"/>
    <mergeCell ref="B808:K808"/>
    <mergeCell ref="B809:G809"/>
    <mergeCell ref="I809:J809"/>
    <mergeCell ref="B810:K810"/>
    <mergeCell ref="B811:G811"/>
    <mergeCell ref="I811:J811"/>
    <mergeCell ref="B812:K812"/>
    <mergeCell ref="B813:G813"/>
    <mergeCell ref="I813:J813"/>
    <mergeCell ref="B802:G802"/>
    <mergeCell ref="I802:J802"/>
    <mergeCell ref="B803:G803"/>
    <mergeCell ref="I803:J803"/>
    <mergeCell ref="B804:K804"/>
    <mergeCell ref="B805:G805"/>
    <mergeCell ref="I805:J805"/>
    <mergeCell ref="B806:K806"/>
    <mergeCell ref="B807:G807"/>
    <mergeCell ref="I807:J807"/>
    <mergeCell ref="A782:L783"/>
    <mergeCell ref="A784:L784"/>
    <mergeCell ref="K790:K791"/>
    <mergeCell ref="C794:D794"/>
    <mergeCell ref="C796:D796"/>
    <mergeCell ref="C797:D797"/>
    <mergeCell ref="B798:C798"/>
    <mergeCell ref="C799:G799"/>
    <mergeCell ref="C800:G800"/>
    <mergeCell ref="B769:K769"/>
    <mergeCell ref="B770:G770"/>
    <mergeCell ref="I770:J770"/>
    <mergeCell ref="B771:K771"/>
    <mergeCell ref="B772:G772"/>
    <mergeCell ref="I772:J772"/>
    <mergeCell ref="B773:G773"/>
    <mergeCell ref="I773:J773"/>
    <mergeCell ref="B777:D777"/>
    <mergeCell ref="B763:K763"/>
    <mergeCell ref="B764:G764"/>
    <mergeCell ref="I764:J764"/>
    <mergeCell ref="B765:K765"/>
    <mergeCell ref="B766:G766"/>
    <mergeCell ref="I766:J766"/>
    <mergeCell ref="B767:K767"/>
    <mergeCell ref="B768:G768"/>
    <mergeCell ref="I768:J768"/>
    <mergeCell ref="B757:K757"/>
    <mergeCell ref="B758:G758"/>
    <mergeCell ref="I758:J758"/>
    <mergeCell ref="B759:K759"/>
    <mergeCell ref="B760:G760"/>
    <mergeCell ref="I760:J760"/>
    <mergeCell ref="B761:K761"/>
    <mergeCell ref="B762:G762"/>
    <mergeCell ref="I762:J762"/>
    <mergeCell ref="B749:C749"/>
    <mergeCell ref="C750:G750"/>
    <mergeCell ref="C751:G751"/>
    <mergeCell ref="B753:G753"/>
    <mergeCell ref="I753:J753"/>
    <mergeCell ref="B754:G754"/>
    <mergeCell ref="I754:J754"/>
    <mergeCell ref="B755:K755"/>
    <mergeCell ref="B756:G756"/>
    <mergeCell ref="I756:J756"/>
    <mergeCell ref="B724:G724"/>
    <mergeCell ref="I724:J724"/>
    <mergeCell ref="B728:D728"/>
    <mergeCell ref="A733:L734"/>
    <mergeCell ref="A735:L735"/>
    <mergeCell ref="K741:K742"/>
    <mergeCell ref="C745:D745"/>
    <mergeCell ref="C747:D747"/>
    <mergeCell ref="C748:D748"/>
    <mergeCell ref="B718:K718"/>
    <mergeCell ref="B719:G719"/>
    <mergeCell ref="I719:J719"/>
    <mergeCell ref="B720:K720"/>
    <mergeCell ref="B721:G721"/>
    <mergeCell ref="I721:J721"/>
    <mergeCell ref="B722:K722"/>
    <mergeCell ref="B723:G723"/>
    <mergeCell ref="I723:J723"/>
    <mergeCell ref="B712:K712"/>
    <mergeCell ref="B713:G713"/>
    <mergeCell ref="I713:J713"/>
    <mergeCell ref="B714:K714"/>
    <mergeCell ref="B715:G715"/>
    <mergeCell ref="I715:J715"/>
    <mergeCell ref="B716:K716"/>
    <mergeCell ref="B717:G717"/>
    <mergeCell ref="I717:J717"/>
    <mergeCell ref="B706:K706"/>
    <mergeCell ref="B707:G707"/>
    <mergeCell ref="I707:J707"/>
    <mergeCell ref="B708:K708"/>
    <mergeCell ref="B709:G709"/>
    <mergeCell ref="I709:J709"/>
    <mergeCell ref="B710:K710"/>
    <mergeCell ref="B711:G711"/>
    <mergeCell ref="I711:J711"/>
    <mergeCell ref="C696:D696"/>
    <mergeCell ref="C698:D698"/>
    <mergeCell ref="C699:D699"/>
    <mergeCell ref="B700:C700"/>
    <mergeCell ref="C701:G701"/>
    <mergeCell ref="C702:G702"/>
    <mergeCell ref="B704:G704"/>
    <mergeCell ref="I704:J704"/>
    <mergeCell ref="B705:G705"/>
    <mergeCell ref="I705:J705"/>
    <mergeCell ref="B673:K673"/>
    <mergeCell ref="B674:G674"/>
    <mergeCell ref="I674:J674"/>
    <mergeCell ref="B675:G675"/>
    <mergeCell ref="I675:J675"/>
    <mergeCell ref="B679:D679"/>
    <mergeCell ref="A684:L685"/>
    <mergeCell ref="A686:L686"/>
    <mergeCell ref="K692:K693"/>
    <mergeCell ref="B667:K667"/>
    <mergeCell ref="B668:G668"/>
    <mergeCell ref="I668:J668"/>
    <mergeCell ref="B669:K669"/>
    <mergeCell ref="B670:G670"/>
    <mergeCell ref="I670:J670"/>
    <mergeCell ref="B671:K671"/>
    <mergeCell ref="B672:G672"/>
    <mergeCell ref="I672:J672"/>
    <mergeCell ref="B661:K661"/>
    <mergeCell ref="B662:G662"/>
    <mergeCell ref="I662:J662"/>
    <mergeCell ref="B663:K663"/>
    <mergeCell ref="B664:G664"/>
    <mergeCell ref="I664:J664"/>
    <mergeCell ref="B665:K665"/>
    <mergeCell ref="B666:G666"/>
    <mergeCell ref="I666:J666"/>
    <mergeCell ref="B655:G655"/>
    <mergeCell ref="I655:J655"/>
    <mergeCell ref="B656:G656"/>
    <mergeCell ref="I656:J656"/>
    <mergeCell ref="B657:K657"/>
    <mergeCell ref="B658:G658"/>
    <mergeCell ref="I658:J658"/>
    <mergeCell ref="B659:K659"/>
    <mergeCell ref="B660:G660"/>
    <mergeCell ref="I660:J660"/>
    <mergeCell ref="A635:L636"/>
    <mergeCell ref="A637:L637"/>
    <mergeCell ref="K643:K644"/>
    <mergeCell ref="C647:D647"/>
    <mergeCell ref="C649:D649"/>
    <mergeCell ref="C650:D650"/>
    <mergeCell ref="B651:C651"/>
    <mergeCell ref="C652:G652"/>
    <mergeCell ref="C653:G653"/>
    <mergeCell ref="B622:K622"/>
    <mergeCell ref="B623:G623"/>
    <mergeCell ref="I623:J623"/>
    <mergeCell ref="B624:K624"/>
    <mergeCell ref="B625:G625"/>
    <mergeCell ref="I625:J625"/>
    <mergeCell ref="B626:G626"/>
    <mergeCell ref="I626:J626"/>
    <mergeCell ref="B630:D630"/>
    <mergeCell ref="B616:K616"/>
    <mergeCell ref="B617:G617"/>
    <mergeCell ref="I617:J617"/>
    <mergeCell ref="B618:K618"/>
    <mergeCell ref="B619:G619"/>
    <mergeCell ref="I619:J619"/>
    <mergeCell ref="B620:K620"/>
    <mergeCell ref="B621:G621"/>
    <mergeCell ref="I621:J621"/>
    <mergeCell ref="B610:K610"/>
    <mergeCell ref="B611:G611"/>
    <mergeCell ref="I611:J611"/>
    <mergeCell ref="B612:K612"/>
    <mergeCell ref="B613:G613"/>
    <mergeCell ref="I613:J613"/>
    <mergeCell ref="B614:K614"/>
    <mergeCell ref="B615:G615"/>
    <mergeCell ref="I615:J615"/>
    <mergeCell ref="B602:C602"/>
    <mergeCell ref="C603:G603"/>
    <mergeCell ref="C604:G604"/>
    <mergeCell ref="B606:G606"/>
    <mergeCell ref="I606:J606"/>
    <mergeCell ref="B607:G607"/>
    <mergeCell ref="I607:J607"/>
    <mergeCell ref="B608:K608"/>
    <mergeCell ref="B609:G609"/>
    <mergeCell ref="I609:J609"/>
    <mergeCell ref="B577:G577"/>
    <mergeCell ref="I577:J577"/>
    <mergeCell ref="B581:D581"/>
    <mergeCell ref="A586:L587"/>
    <mergeCell ref="A588:L588"/>
    <mergeCell ref="K594:K595"/>
    <mergeCell ref="C598:D598"/>
    <mergeCell ref="C600:D600"/>
    <mergeCell ref="C601:D601"/>
    <mergeCell ref="B571:K571"/>
    <mergeCell ref="B572:G572"/>
    <mergeCell ref="I572:J572"/>
    <mergeCell ref="B573:K573"/>
    <mergeCell ref="B574:G574"/>
    <mergeCell ref="I574:J574"/>
    <mergeCell ref="B575:K575"/>
    <mergeCell ref="B576:G576"/>
    <mergeCell ref="I576:J576"/>
    <mergeCell ref="B565:K565"/>
    <mergeCell ref="B566:G566"/>
    <mergeCell ref="I566:J566"/>
    <mergeCell ref="B567:K567"/>
    <mergeCell ref="B568:G568"/>
    <mergeCell ref="I568:J568"/>
    <mergeCell ref="B569:K569"/>
    <mergeCell ref="B570:G570"/>
    <mergeCell ref="I570:J570"/>
    <mergeCell ref="B559:K559"/>
    <mergeCell ref="B560:G560"/>
    <mergeCell ref="I560:J560"/>
    <mergeCell ref="B561:K561"/>
    <mergeCell ref="B562:G562"/>
    <mergeCell ref="I562:J562"/>
    <mergeCell ref="B563:K563"/>
    <mergeCell ref="B564:G564"/>
    <mergeCell ref="I564:J564"/>
    <mergeCell ref="C549:D549"/>
    <mergeCell ref="C551:D551"/>
    <mergeCell ref="C552:D552"/>
    <mergeCell ref="B553:C553"/>
    <mergeCell ref="C554:G554"/>
    <mergeCell ref="C555:G555"/>
    <mergeCell ref="B557:G557"/>
    <mergeCell ref="I557:J557"/>
    <mergeCell ref="B558:G558"/>
    <mergeCell ref="I558:J558"/>
    <mergeCell ref="B526:K526"/>
    <mergeCell ref="B527:G527"/>
    <mergeCell ref="I527:J527"/>
    <mergeCell ref="B528:G528"/>
    <mergeCell ref="I528:J528"/>
    <mergeCell ref="B532:D532"/>
    <mergeCell ref="A537:L538"/>
    <mergeCell ref="A539:L539"/>
    <mergeCell ref="K545:K546"/>
    <mergeCell ref="B520:K520"/>
    <mergeCell ref="B521:G521"/>
    <mergeCell ref="I521:J521"/>
    <mergeCell ref="B522:K522"/>
    <mergeCell ref="B523:G523"/>
    <mergeCell ref="I523:J523"/>
    <mergeCell ref="B524:K524"/>
    <mergeCell ref="B525:G525"/>
    <mergeCell ref="I525:J525"/>
    <mergeCell ref="B514:K514"/>
    <mergeCell ref="B515:G515"/>
    <mergeCell ref="I515:J515"/>
    <mergeCell ref="B516:K516"/>
    <mergeCell ref="B517:G517"/>
    <mergeCell ref="I517:J517"/>
    <mergeCell ref="B518:K518"/>
    <mergeCell ref="B519:G519"/>
    <mergeCell ref="I519:J519"/>
    <mergeCell ref="B508:G508"/>
    <mergeCell ref="I508:J508"/>
    <mergeCell ref="B509:G509"/>
    <mergeCell ref="I509:J509"/>
    <mergeCell ref="B510:K510"/>
    <mergeCell ref="B511:G511"/>
    <mergeCell ref="I511:J511"/>
    <mergeCell ref="B512:K512"/>
    <mergeCell ref="B513:G513"/>
    <mergeCell ref="I513:J513"/>
    <mergeCell ref="A488:L489"/>
    <mergeCell ref="A490:L490"/>
    <mergeCell ref="K496:K497"/>
    <mergeCell ref="C500:D500"/>
    <mergeCell ref="C502:D502"/>
    <mergeCell ref="C503:D503"/>
    <mergeCell ref="B504:C504"/>
    <mergeCell ref="C505:G505"/>
    <mergeCell ref="C506:G506"/>
    <mergeCell ref="B475:K475"/>
    <mergeCell ref="B476:G476"/>
    <mergeCell ref="I476:J476"/>
    <mergeCell ref="B477:K477"/>
    <mergeCell ref="B478:G478"/>
    <mergeCell ref="I478:J478"/>
    <mergeCell ref="B479:G479"/>
    <mergeCell ref="I479:J479"/>
    <mergeCell ref="B483:D483"/>
    <mergeCell ref="B469:K469"/>
    <mergeCell ref="B470:G470"/>
    <mergeCell ref="I470:J470"/>
    <mergeCell ref="B471:K471"/>
    <mergeCell ref="B472:G472"/>
    <mergeCell ref="I472:J472"/>
    <mergeCell ref="B473:K473"/>
    <mergeCell ref="B474:G474"/>
    <mergeCell ref="I474:J474"/>
    <mergeCell ref="B463:K463"/>
    <mergeCell ref="B464:G464"/>
    <mergeCell ref="I464:J464"/>
    <mergeCell ref="B465:K465"/>
    <mergeCell ref="B466:G466"/>
    <mergeCell ref="I466:J466"/>
    <mergeCell ref="B467:K467"/>
    <mergeCell ref="B468:G468"/>
    <mergeCell ref="I468:J468"/>
    <mergeCell ref="B455:C455"/>
    <mergeCell ref="C456:G456"/>
    <mergeCell ref="C457:G457"/>
    <mergeCell ref="B459:G459"/>
    <mergeCell ref="I459:J459"/>
    <mergeCell ref="B460:G460"/>
    <mergeCell ref="I460:J460"/>
    <mergeCell ref="B461:K461"/>
    <mergeCell ref="B462:G462"/>
    <mergeCell ref="I462:J462"/>
    <mergeCell ref="B430:G430"/>
    <mergeCell ref="I430:J430"/>
    <mergeCell ref="B434:D434"/>
    <mergeCell ref="A439:L440"/>
    <mergeCell ref="A441:L441"/>
    <mergeCell ref="K447:K448"/>
    <mergeCell ref="C451:D451"/>
    <mergeCell ref="C453:D453"/>
    <mergeCell ref="C454:D454"/>
    <mergeCell ref="B424:K424"/>
    <mergeCell ref="B425:G425"/>
    <mergeCell ref="I425:J425"/>
    <mergeCell ref="B426:K426"/>
    <mergeCell ref="B427:G427"/>
    <mergeCell ref="I427:J427"/>
    <mergeCell ref="B428:K428"/>
    <mergeCell ref="B429:G429"/>
    <mergeCell ref="I429:J429"/>
    <mergeCell ref="B418:K418"/>
    <mergeCell ref="B419:G419"/>
    <mergeCell ref="I419:J419"/>
    <mergeCell ref="B420:K420"/>
    <mergeCell ref="B421:G421"/>
    <mergeCell ref="I421:J421"/>
    <mergeCell ref="B422:K422"/>
    <mergeCell ref="B423:G423"/>
    <mergeCell ref="I423:J423"/>
    <mergeCell ref="B412:K412"/>
    <mergeCell ref="B413:G413"/>
    <mergeCell ref="I413:J413"/>
    <mergeCell ref="B414:K414"/>
    <mergeCell ref="B415:G415"/>
    <mergeCell ref="I415:J415"/>
    <mergeCell ref="B416:K416"/>
    <mergeCell ref="B417:G417"/>
    <mergeCell ref="I417:J417"/>
    <mergeCell ref="C402:D402"/>
    <mergeCell ref="C404:D404"/>
    <mergeCell ref="C405:D405"/>
    <mergeCell ref="B406:C406"/>
    <mergeCell ref="C407:G407"/>
    <mergeCell ref="C408:G408"/>
    <mergeCell ref="B410:G410"/>
    <mergeCell ref="I410:J410"/>
    <mergeCell ref="B411:G411"/>
    <mergeCell ref="I411:J411"/>
    <mergeCell ref="B379:K379"/>
    <mergeCell ref="B380:G380"/>
    <mergeCell ref="I380:J380"/>
    <mergeCell ref="B381:G381"/>
    <mergeCell ref="I381:J381"/>
    <mergeCell ref="B385:D385"/>
    <mergeCell ref="A390:L391"/>
    <mergeCell ref="A392:L392"/>
    <mergeCell ref="K398:K399"/>
    <mergeCell ref="B373:K373"/>
    <mergeCell ref="B374:G374"/>
    <mergeCell ref="I374:J374"/>
    <mergeCell ref="B375:K375"/>
    <mergeCell ref="B376:G376"/>
    <mergeCell ref="I376:J376"/>
    <mergeCell ref="B377:K377"/>
    <mergeCell ref="B378:G378"/>
    <mergeCell ref="I378:J378"/>
    <mergeCell ref="B367:K367"/>
    <mergeCell ref="B368:G368"/>
    <mergeCell ref="I368:J368"/>
    <mergeCell ref="B369:K369"/>
    <mergeCell ref="B370:G370"/>
    <mergeCell ref="I370:J370"/>
    <mergeCell ref="B371:K371"/>
    <mergeCell ref="B372:G372"/>
    <mergeCell ref="I372:J372"/>
    <mergeCell ref="B361:G361"/>
    <mergeCell ref="I361:J361"/>
    <mergeCell ref="B362:G362"/>
    <mergeCell ref="I362:J362"/>
    <mergeCell ref="B363:K363"/>
    <mergeCell ref="B364:G364"/>
    <mergeCell ref="I364:J364"/>
    <mergeCell ref="B365:K365"/>
    <mergeCell ref="B366:G366"/>
    <mergeCell ref="I366:J366"/>
    <mergeCell ref="A341:L342"/>
    <mergeCell ref="A343:L343"/>
    <mergeCell ref="K349:K350"/>
    <mergeCell ref="C353:D353"/>
    <mergeCell ref="C355:D355"/>
    <mergeCell ref="C356:D356"/>
    <mergeCell ref="B357:C357"/>
    <mergeCell ref="C358:G358"/>
    <mergeCell ref="C359:G359"/>
    <mergeCell ref="B328:K328"/>
    <mergeCell ref="B329:G329"/>
    <mergeCell ref="I329:J329"/>
    <mergeCell ref="B330:K330"/>
    <mergeCell ref="B331:G331"/>
    <mergeCell ref="I331:J331"/>
    <mergeCell ref="B332:G332"/>
    <mergeCell ref="I332:J332"/>
    <mergeCell ref="B336:D336"/>
    <mergeCell ref="B322:K322"/>
    <mergeCell ref="B323:G323"/>
    <mergeCell ref="I323:J323"/>
    <mergeCell ref="B324:K324"/>
    <mergeCell ref="B325:G325"/>
    <mergeCell ref="I325:J325"/>
    <mergeCell ref="B326:K326"/>
    <mergeCell ref="B327:G327"/>
    <mergeCell ref="I327:J327"/>
    <mergeCell ref="B316:K316"/>
    <mergeCell ref="B317:G317"/>
    <mergeCell ref="I317:J317"/>
    <mergeCell ref="B318:K318"/>
    <mergeCell ref="B319:G319"/>
    <mergeCell ref="I319:J319"/>
    <mergeCell ref="B320:K320"/>
    <mergeCell ref="B321:G321"/>
    <mergeCell ref="I321:J321"/>
    <mergeCell ref="B308:C308"/>
    <mergeCell ref="C309:G309"/>
    <mergeCell ref="C310:G310"/>
    <mergeCell ref="B312:G312"/>
    <mergeCell ref="I312:J312"/>
    <mergeCell ref="B313:G313"/>
    <mergeCell ref="I313:J313"/>
    <mergeCell ref="B314:K314"/>
    <mergeCell ref="B315:G315"/>
    <mergeCell ref="I315:J315"/>
    <mergeCell ref="B283:G283"/>
    <mergeCell ref="I283:J283"/>
    <mergeCell ref="B287:D287"/>
    <mergeCell ref="A292:L293"/>
    <mergeCell ref="A294:L294"/>
    <mergeCell ref="K300:K301"/>
    <mergeCell ref="C304:D304"/>
    <mergeCell ref="C306:D306"/>
    <mergeCell ref="C307:D307"/>
    <mergeCell ref="B277:K277"/>
    <mergeCell ref="B278:G278"/>
    <mergeCell ref="I278:J278"/>
    <mergeCell ref="B279:K279"/>
    <mergeCell ref="B280:G280"/>
    <mergeCell ref="I280:J280"/>
    <mergeCell ref="B281:K281"/>
    <mergeCell ref="B282:G282"/>
    <mergeCell ref="I282:J282"/>
    <mergeCell ref="B271:K271"/>
    <mergeCell ref="B272:G272"/>
    <mergeCell ref="I272:J272"/>
    <mergeCell ref="B273:K273"/>
    <mergeCell ref="B274:G274"/>
    <mergeCell ref="I274:J274"/>
    <mergeCell ref="B275:K275"/>
    <mergeCell ref="B276:G276"/>
    <mergeCell ref="I276:J276"/>
    <mergeCell ref="B265:K265"/>
    <mergeCell ref="B266:G266"/>
    <mergeCell ref="I266:J266"/>
    <mergeCell ref="B267:K267"/>
    <mergeCell ref="B268:G268"/>
    <mergeCell ref="I268:J268"/>
    <mergeCell ref="B269:K269"/>
    <mergeCell ref="B270:G270"/>
    <mergeCell ref="I270:J270"/>
    <mergeCell ref="C257:D257"/>
    <mergeCell ref="C258:D258"/>
    <mergeCell ref="B259:C259"/>
    <mergeCell ref="C260:G260"/>
    <mergeCell ref="C261:G261"/>
    <mergeCell ref="B263:G263"/>
    <mergeCell ref="I263:J263"/>
    <mergeCell ref="B264:G264"/>
    <mergeCell ref="I264:J264"/>
    <mergeCell ref="B233:G233"/>
    <mergeCell ref="I233:J233"/>
    <mergeCell ref="B234:G234"/>
    <mergeCell ref="I234:J234"/>
    <mergeCell ref="B238:D238"/>
    <mergeCell ref="A243:L244"/>
    <mergeCell ref="A245:L245"/>
    <mergeCell ref="K251:K252"/>
    <mergeCell ref="C255:D255"/>
    <mergeCell ref="B227:G227"/>
    <mergeCell ref="I227:J227"/>
    <mergeCell ref="B228:K228"/>
    <mergeCell ref="B229:G229"/>
    <mergeCell ref="I229:J229"/>
    <mergeCell ref="B230:K230"/>
    <mergeCell ref="B231:G231"/>
    <mergeCell ref="I231:J231"/>
    <mergeCell ref="B232:K232"/>
    <mergeCell ref="B221:G221"/>
    <mergeCell ref="I221:J221"/>
    <mergeCell ref="B222:K222"/>
    <mergeCell ref="B223:G223"/>
    <mergeCell ref="I223:J223"/>
    <mergeCell ref="B224:K224"/>
    <mergeCell ref="B225:G225"/>
    <mergeCell ref="I225:J225"/>
    <mergeCell ref="B226:K226"/>
    <mergeCell ref="B215:G215"/>
    <mergeCell ref="I215:J215"/>
    <mergeCell ref="B216:K216"/>
    <mergeCell ref="B217:G217"/>
    <mergeCell ref="I217:J217"/>
    <mergeCell ref="B218:K218"/>
    <mergeCell ref="B219:G219"/>
    <mergeCell ref="I219:J219"/>
    <mergeCell ref="B220:K220"/>
    <mergeCell ref="K202:K203"/>
    <mergeCell ref="C206:D206"/>
    <mergeCell ref="C208:D208"/>
    <mergeCell ref="C209:D209"/>
    <mergeCell ref="B210:C210"/>
    <mergeCell ref="C211:G211"/>
    <mergeCell ref="C212:G212"/>
    <mergeCell ref="B214:G214"/>
    <mergeCell ref="I214:J214"/>
    <mergeCell ref="B189:D189"/>
    <mergeCell ref="A194:L195"/>
    <mergeCell ref="A196:L196"/>
    <mergeCell ref="B183:K183"/>
    <mergeCell ref="B184:G184"/>
    <mergeCell ref="I184:J184"/>
    <mergeCell ref="B185:G185"/>
    <mergeCell ref="I185:J185"/>
    <mergeCell ref="B179:K179"/>
    <mergeCell ref="B180:G180"/>
    <mergeCell ref="I180:J180"/>
    <mergeCell ref="B181:K181"/>
    <mergeCell ref="B182:G182"/>
    <mergeCell ref="I182:J182"/>
    <mergeCell ref="B175:K175"/>
    <mergeCell ref="B176:G176"/>
    <mergeCell ref="I176:J176"/>
    <mergeCell ref="B177:K177"/>
    <mergeCell ref="B178:G178"/>
    <mergeCell ref="I178:J178"/>
    <mergeCell ref="B171:K171"/>
    <mergeCell ref="B172:G172"/>
    <mergeCell ref="I172:J172"/>
    <mergeCell ref="B173:K173"/>
    <mergeCell ref="B174:G174"/>
    <mergeCell ref="I174:J174"/>
    <mergeCell ref="B168:G168"/>
    <mergeCell ref="I168:J168"/>
    <mergeCell ref="B169:K169"/>
    <mergeCell ref="B170:G170"/>
    <mergeCell ref="I170:J170"/>
    <mergeCell ref="B165:G165"/>
    <mergeCell ref="I165:J165"/>
    <mergeCell ref="B166:G166"/>
    <mergeCell ref="I166:J166"/>
    <mergeCell ref="B167:K167"/>
    <mergeCell ref="C159:D159"/>
    <mergeCell ref="C160:D160"/>
    <mergeCell ref="B161:C161"/>
    <mergeCell ref="C162:G162"/>
    <mergeCell ref="C163:G163"/>
    <mergeCell ref="B140:D140"/>
    <mergeCell ref="A145:L146"/>
    <mergeCell ref="A147:L147"/>
    <mergeCell ref="K153:K154"/>
    <mergeCell ref="C157:D157"/>
    <mergeCell ref="B134:K134"/>
    <mergeCell ref="B135:G135"/>
    <mergeCell ref="I135:J135"/>
    <mergeCell ref="B136:G136"/>
    <mergeCell ref="I136:J136"/>
    <mergeCell ref="B130:K130"/>
    <mergeCell ref="B131:G131"/>
    <mergeCell ref="I131:J131"/>
    <mergeCell ref="B132:K132"/>
    <mergeCell ref="B133:G133"/>
    <mergeCell ref="I133:J133"/>
    <mergeCell ref="B126:K126"/>
    <mergeCell ref="B127:G127"/>
    <mergeCell ref="I127:J127"/>
    <mergeCell ref="B128:K128"/>
    <mergeCell ref="B129:G129"/>
    <mergeCell ref="I129:J129"/>
    <mergeCell ref="B122:K122"/>
    <mergeCell ref="B123:G123"/>
    <mergeCell ref="I123:J123"/>
    <mergeCell ref="B124:K124"/>
    <mergeCell ref="B125:G125"/>
    <mergeCell ref="I125:J125"/>
    <mergeCell ref="B118:K118"/>
    <mergeCell ref="B119:G119"/>
    <mergeCell ref="I119:J119"/>
    <mergeCell ref="B120:K120"/>
    <mergeCell ref="B121:G121"/>
    <mergeCell ref="I121:J121"/>
    <mergeCell ref="C113:G113"/>
    <mergeCell ref="C114:G114"/>
    <mergeCell ref="B116:G116"/>
    <mergeCell ref="I116:J116"/>
    <mergeCell ref="B117:G117"/>
    <mergeCell ref="I117:J117"/>
    <mergeCell ref="K104:K105"/>
    <mergeCell ref="C108:D108"/>
    <mergeCell ref="C110:D110"/>
    <mergeCell ref="C111:D111"/>
    <mergeCell ref="B112:C112"/>
    <mergeCell ref="B91:D91"/>
    <mergeCell ref="A96:L97"/>
    <mergeCell ref="A98:L98"/>
    <mergeCell ref="K6:K7"/>
    <mergeCell ref="K55:K56"/>
    <mergeCell ref="B85:K85"/>
    <mergeCell ref="B86:G86"/>
    <mergeCell ref="I86:J86"/>
    <mergeCell ref="B87:G87"/>
    <mergeCell ref="I87:J87"/>
    <mergeCell ref="B81:K81"/>
    <mergeCell ref="B82:G82"/>
    <mergeCell ref="I82:J82"/>
    <mergeCell ref="B83:K83"/>
    <mergeCell ref="B84:G84"/>
    <mergeCell ref="I84:J84"/>
    <mergeCell ref="B77:K77"/>
    <mergeCell ref="B78:G78"/>
    <mergeCell ref="I78:J78"/>
    <mergeCell ref="B79:K79"/>
    <mergeCell ref="B80:G80"/>
    <mergeCell ref="I80:J80"/>
    <mergeCell ref="B73:K73"/>
    <mergeCell ref="B74:G74"/>
    <mergeCell ref="I74:J74"/>
    <mergeCell ref="B75:K75"/>
    <mergeCell ref="B76:G76"/>
    <mergeCell ref="I76:J76"/>
    <mergeCell ref="B69:K69"/>
    <mergeCell ref="B70:G70"/>
    <mergeCell ref="I70:J70"/>
    <mergeCell ref="B71:K71"/>
    <mergeCell ref="B72:G72"/>
    <mergeCell ref="I72:J72"/>
    <mergeCell ref="C65:G65"/>
    <mergeCell ref="B67:G67"/>
    <mergeCell ref="I67:J67"/>
    <mergeCell ref="B68:G68"/>
    <mergeCell ref="I68:J68"/>
    <mergeCell ref="C59:D59"/>
    <mergeCell ref="C61:D61"/>
    <mergeCell ref="C62:D62"/>
    <mergeCell ref="B63:C63"/>
    <mergeCell ref="C64:G64"/>
    <mergeCell ref="B42:D42"/>
    <mergeCell ref="C12:D12"/>
    <mergeCell ref="A47:L48"/>
    <mergeCell ref="A49:L49"/>
    <mergeCell ref="B23:G23"/>
    <mergeCell ref="I23:J23"/>
    <mergeCell ref="B24:K24"/>
    <mergeCell ref="B34:K34"/>
    <mergeCell ref="B35:G35"/>
    <mergeCell ref="I35:J35"/>
    <mergeCell ref="B36:K36"/>
    <mergeCell ref="B30:K30"/>
    <mergeCell ref="B31:G31"/>
    <mergeCell ref="I31:J31"/>
    <mergeCell ref="B32:K32"/>
    <mergeCell ref="B33:G33"/>
    <mergeCell ref="I33:J33"/>
    <mergeCell ref="C10:D10"/>
    <mergeCell ref="I38:J38"/>
    <mergeCell ref="B37:G37"/>
    <mergeCell ref="C13:D13"/>
    <mergeCell ref="B25:G25"/>
    <mergeCell ref="I25:J25"/>
    <mergeCell ref="B26:K26"/>
    <mergeCell ref="B27:G27"/>
    <mergeCell ref="I27:J27"/>
    <mergeCell ref="B28:K28"/>
    <mergeCell ref="B29:G29"/>
    <mergeCell ref="I29:J29"/>
    <mergeCell ref="C16:G16"/>
    <mergeCell ref="C15:G15"/>
    <mergeCell ref="B14:C14"/>
    <mergeCell ref="I37:J37"/>
    <mergeCell ref="B18:G18"/>
    <mergeCell ref="I18:J18"/>
    <mergeCell ref="B19:G19"/>
    <mergeCell ref="I19:J19"/>
    <mergeCell ref="B20:K20"/>
    <mergeCell ref="B21:G21"/>
    <mergeCell ref="I21:J21"/>
    <mergeCell ref="B22:K22"/>
    <mergeCell ref="B38:G38"/>
  </mergeCells>
  <pageMargins left="0.25" right="0.25" top="0.75" bottom="0.75" header="0.3" footer="0.3"/>
  <pageSetup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Escobar</dc:creator>
  <cp:lastModifiedBy>Sales</cp:lastModifiedBy>
  <cp:lastPrinted>2026-01-20T23:01:11Z</cp:lastPrinted>
  <dcterms:created xsi:type="dcterms:W3CDTF">2023-09-15T17:29:16Z</dcterms:created>
  <dcterms:modified xsi:type="dcterms:W3CDTF">2026-01-21T19:50:51Z</dcterms:modified>
</cp:coreProperties>
</file>